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gorithm" sheetId="1" state="visible" r:id="rId3"/>
    <sheet name="Catalog" sheetId="2" state="visible" r:id="rId4"/>
    <sheet name="Category matrix" sheetId="3" state="visible" r:id="rId5"/>
    <sheet name="How to add" sheetId="4" state="visible" r:id="rId6"/>
  </sheets>
  <definedNames>
    <definedName function="false" hidden="true" localSheetId="1" name="_xlnm._FilterDatabase" vbProcedure="false">Catalog!$A$3:$L$53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<sst xmlns="http://schemas.openxmlformats.org/spreadsheetml/2006/main" count="347" uniqueCount="218">
  <si>
    <t xml:space="preserve">MARS 1-LB CATALOG  ·  n = 1 + 0</t>
  </si>
  <si>
    <t xml:space="preserve">Catalog index never starts at zero. First slot is n = 1. Offset is 0. n = 1 + 0.</t>
  </si>
  <si>
    <t xml:space="preserve">RULE</t>
  </si>
  <si>
    <t xml:space="preserve">n ≠ 0.  n = 1 + 0.  Every catalog row is addressed by a positive integer index.</t>
  </si>
  <si>
    <t xml:space="preserve">Symbol</t>
  </si>
  <si>
    <t xml:space="preserve">Meaning</t>
  </si>
  <si>
    <t xml:space="preserve">Value / formula</t>
  </si>
  <si>
    <t xml:space="preserve">Notes</t>
  </si>
  <si>
    <t xml:space="preserve">n</t>
  </si>
  <si>
    <t xml:space="preserve">Catalog index</t>
  </si>
  <si>
    <t xml:space="preserve">1, 2, 3, …</t>
  </si>
  <si>
    <t xml:space="preserve">Row address. Never 0.</t>
  </si>
  <si>
    <t xml:space="preserve">n0</t>
  </si>
  <si>
    <t xml:space="preserve">Offset</t>
  </si>
  <si>
    <t xml:space="preserve">0</t>
  </si>
  <si>
    <t xml:space="preserve">Added so the first item is 1, not 0.</t>
  </si>
  <si>
    <t xml:space="preserve">n_start</t>
  </si>
  <si>
    <t xml:space="preserve">First legal index</t>
  </si>
  <si>
    <t xml:space="preserve">Hard rule of this matrix.</t>
  </si>
  <si>
    <t xml:space="preserve">m_i</t>
  </si>
  <si>
    <t xml:space="preserve">Catalog pounds of item i</t>
  </si>
  <si>
    <t xml:space="preserve">input (blue)</t>
  </si>
  <si>
    <t xml:space="preserve">Mass expressed in 1-lb units. May be decimal.</t>
  </si>
  <si>
    <t xml:space="preserve">p_i</t>
  </si>
  <si>
    <t xml:space="preserve">Packet ceiling</t>
  </si>
  <si>
    <t xml:space="preserve">CEILING(m_i, 1)</t>
  </si>
  <si>
    <t xml:space="preserve">If you later packetize. Catalog itself allows fractions.</t>
  </si>
  <si>
    <t xml:space="preserve">k_i</t>
  </si>
  <si>
    <t xml:space="preserve">Assembly width</t>
  </si>
  <si>
    <t xml:space="preserve">input</t>
  </si>
  <si>
    <t xml:space="preserve">How many catalog-lb units form one useful assembled object.</t>
  </si>
  <si>
    <t xml:space="preserve">class_i</t>
  </si>
  <si>
    <t xml:space="preserve">Could-go class</t>
  </si>
  <si>
    <t xml:space="preserve">Core / Enabling / Optional</t>
  </si>
  <si>
    <t xml:space="preserve">Not a flight commitment.</t>
  </si>
  <si>
    <t xml:space="preserve">INDEX CONSTRUCTION</t>
  </si>
  <si>
    <t xml:space="preserve">Row i on the Catalog sheet is addressed as n = i, with i starting at 1.
There is no row 0 and no item 0. Empty is not an index.
n = 1 + 0 is the generator: start at one, add a zero offset, never decrement to zero.
New items append at n_max + 1. Deleting an item retires the number; it is not reused as 0.</t>
  </si>
  <si>
    <t xml:space="preserve">This workbook catalogs infrastructure that COULD go to Mars. It is not a flight manifest.</t>
  </si>
  <si>
    <t xml:space="preserve">MARS INFRASTRUCTURE CATALOG  ·  unit = 1 pound  ·  index n = 1 + 0</t>
  </si>
  <si>
    <t xml:space="preserve">Could-go inventory only. Blue cells are inputs. Black cells are formulas. n never equals 0.</t>
  </si>
  <si>
    <t xml:space="preserve">Category</t>
  </si>
  <si>
    <t xml:space="preserve">Item</t>
  </si>
  <si>
    <t xml:space="preserve">Catalog lb  m_i</t>
  </si>
  <si>
    <t xml:space="preserve">Packet ceil  p_i</t>
  </si>
  <si>
    <t xml:space="preserve">Assembly k</t>
  </si>
  <si>
    <t xml:space="preserve">Depends on (n)</t>
  </si>
  <si>
    <t xml:space="preserve">Enables</t>
  </si>
  <si>
    <t xml:space="preserve">Running lb</t>
  </si>
  <si>
    <t xml:space="preserve">Running packets</t>
  </si>
  <si>
    <t xml:space="preserve">Habitat</t>
  </si>
  <si>
    <t xml:space="preserve">Unpressurized deck tile</t>
  </si>
  <si>
    <t xml:space="preserve">Core</t>
  </si>
  <si>
    <t xml:space="preserve">—</t>
  </si>
  <si>
    <t xml:space="preserve">Floor / wall grid</t>
  </si>
  <si>
    <t xml:space="preserve">1-lb base plate</t>
  </si>
  <si>
    <t xml:space="preserve">Pressure panel</t>
  </si>
  <si>
    <t xml:space="preserve">1</t>
  </si>
  <si>
    <t xml:space="preserve">Livable volume</t>
  </si>
  <si>
    <t xml:space="preserve">Needs seals + frame</t>
  </si>
  <si>
    <t xml:space="preserve">Airlock collar</t>
  </si>
  <si>
    <t xml:space="preserve">Enabling</t>
  </si>
  <si>
    <t xml:space="preserve">2</t>
  </si>
  <si>
    <t xml:space="preserve">EVA / transfer</t>
  </si>
  <si>
    <t xml:space="preserve">Window / viewport brick</t>
  </si>
  <si>
    <t xml:space="preserve">Optional</t>
  </si>
  <si>
    <t xml:space="preserve">Sightline</t>
  </si>
  <si>
    <t xml:space="preserve">Power</t>
  </si>
  <si>
    <t xml:space="preserve">Solar brick</t>
  </si>
  <si>
    <t xml:space="preserve">Trickle charge</t>
  </si>
  <si>
    <t xml:space="preserve">Dust-tolerant face</t>
  </si>
  <si>
    <t xml:space="preserve">Battery brick</t>
  </si>
  <si>
    <t xml:space="preserve">5</t>
  </si>
  <si>
    <t xml:space="preserve">Night ops</t>
  </si>
  <si>
    <t xml:space="preserve">Power bus node</t>
  </si>
  <si>
    <t xml:space="preserve">5,6</t>
  </si>
  <si>
    <t xml:space="preserve">Distribution</t>
  </si>
  <si>
    <t xml:space="preserve">Small RTG / nuke brick (concept)</t>
  </si>
  <si>
    <t xml:space="preserve">7</t>
  </si>
  <si>
    <t xml:space="preserve">Base load</t>
  </si>
  <si>
    <t xml:space="preserve">Catalog only — not a build plan</t>
  </si>
  <si>
    <t xml:space="preserve">Mobility</t>
  </si>
  <si>
    <t xml:space="preserve">Wheel / drive packet</t>
  </si>
  <si>
    <t xml:space="preserve">10</t>
  </si>
  <si>
    <t xml:space="preserve">Motion</t>
  </si>
  <si>
    <t xml:space="preserve">Small rover chassis</t>
  </si>
  <si>
    <t xml:space="preserve">9,11</t>
  </si>
  <si>
    <t xml:space="preserve">Local haul</t>
  </si>
  <si>
    <t xml:space="preserve">Compute / nav brick</t>
  </si>
  <si>
    <t xml:space="preserve">Drive + pose</t>
  </si>
  <si>
    <t xml:space="preserve">Manipulator arm segment</t>
  </si>
  <si>
    <t xml:space="preserve">Pick / place</t>
  </si>
  <si>
    <t xml:space="preserve">Life support</t>
  </si>
  <si>
    <t xml:space="preserve">Water recycler brick</t>
  </si>
  <si>
    <t xml:space="preserve">6,7</t>
  </si>
  <si>
    <t xml:space="preserve">Crew days</t>
  </si>
  <si>
    <t xml:space="preserve">O2 / CO2 cartridge</t>
  </si>
  <si>
    <t xml:space="preserve">13</t>
  </si>
  <si>
    <t xml:space="preserve">Breathing loop</t>
  </si>
  <si>
    <t xml:space="preserve">Tank / bladder</t>
  </si>
  <si>
    <t xml:space="preserve">Store water</t>
  </si>
  <si>
    <t xml:space="preserve">Thermal garment pack</t>
  </si>
  <si>
    <t xml:space="preserve">EVA / night</t>
  </si>
  <si>
    <t xml:space="preserve">Comms</t>
  </si>
  <si>
    <t xml:space="preserve">Surface relay</t>
  </si>
  <si>
    <t xml:space="preserve">Link home / site</t>
  </si>
  <si>
    <t xml:space="preserve">Local mesh node</t>
  </si>
  <si>
    <t xml:space="preserve">17</t>
  </si>
  <si>
    <t xml:space="preserve">Packet radio grid</t>
  </si>
  <si>
    <t xml:space="preserve">1-lb radio</t>
  </si>
  <si>
    <t xml:space="preserve">Nav beacon</t>
  </si>
  <si>
    <t xml:space="preserve">18</t>
  </si>
  <si>
    <t xml:space="preserve">Site fix</t>
  </si>
  <si>
    <t xml:space="preserve">Manufacture</t>
  </si>
  <si>
    <t xml:space="preserve">ISRU feedstock bag</t>
  </si>
  <si>
    <t xml:space="preserve">Print / sinter</t>
  </si>
  <si>
    <t xml:space="preserve">Regolith or resin</t>
  </si>
  <si>
    <t xml:space="preserve">Print head brick</t>
  </si>
  <si>
    <t xml:space="preserve">6,20</t>
  </si>
  <si>
    <t xml:space="preserve">Make parts</t>
  </si>
  <si>
    <t xml:space="preserve">Sinter / kiln brick</t>
  </si>
  <si>
    <t xml:space="preserve">Brick / tile from dirt</t>
  </si>
  <si>
    <t xml:space="preserve">Science</t>
  </si>
  <si>
    <t xml:space="preserve">Weather / dust station</t>
  </si>
  <si>
    <t xml:space="preserve">6,18</t>
  </si>
  <si>
    <t xml:space="preserve">Site data</t>
  </si>
  <si>
    <t xml:space="preserve">Seismic pin</t>
  </si>
  <si>
    <t xml:space="preserve">Ground motion</t>
  </si>
  <si>
    <t xml:space="preserve">Sample cache tube</t>
  </si>
  <si>
    <t xml:space="preserve">12</t>
  </si>
  <si>
    <t xml:space="preserve">Return / store</t>
  </si>
  <si>
    <t xml:space="preserve">Safety</t>
  </si>
  <si>
    <t xml:space="preserve">Repair tool kit</t>
  </si>
  <si>
    <t xml:space="preserve">Keep other items alive</t>
  </si>
  <si>
    <t xml:space="preserve">Patch / seal kit</t>
  </si>
  <si>
    <t xml:space="preserve">Pressure repair</t>
  </si>
  <si>
    <t xml:space="preserve">Fire / dust suppress pack</t>
  </si>
  <si>
    <t xml:space="preserve">Site safety</t>
  </si>
  <si>
    <t xml:space="preserve">Med / trauma brick</t>
  </si>
  <si>
    <t xml:space="preserve">Crew care</t>
  </si>
  <si>
    <t xml:space="preserve">Sleep / berth frame</t>
  </si>
  <si>
    <t xml:space="preserve">1,2</t>
  </si>
  <si>
    <t xml:space="preserve">Crew rest</t>
  </si>
  <si>
    <t xml:space="preserve">Galley brick</t>
  </si>
  <si>
    <t xml:space="preserve">6,15</t>
  </si>
  <si>
    <t xml:space="preserve">Food prep</t>
  </si>
  <si>
    <t xml:space="preserve">Cable spool 50 m</t>
  </si>
  <si>
    <t xml:space="preserve">Run power</t>
  </si>
  <si>
    <t xml:space="preserve">Trailer / pallet</t>
  </si>
  <si>
    <t xml:space="preserve">Haul packets</t>
  </si>
  <si>
    <t xml:space="preserve">Fastener / interface pack</t>
  </si>
  <si>
    <t xml:space="preserve">Join any two items</t>
  </si>
  <si>
    <t xml:space="preserve">Standard 1-lb join kit</t>
  </si>
  <si>
    <t xml:space="preserve">High-gain dish segment</t>
  </si>
  <si>
    <t xml:space="preserve">Earth link margin</t>
  </si>
  <si>
    <t xml:space="preserve">Camera / mast brick</t>
  </si>
  <si>
    <t xml:space="preserve">11</t>
  </si>
  <si>
    <t xml:space="preserve">Survey</t>
  </si>
  <si>
    <t xml:space="preserve">Plant / grow tray</t>
  </si>
  <si>
    <t xml:space="preserve">5,15</t>
  </si>
  <si>
    <t xml:space="preserve">Fresh mass</t>
  </si>
  <si>
    <t xml:space="preserve">Radiation cover tile</t>
  </si>
  <si>
    <t xml:space="preserve">Dose cut</t>
  </si>
  <si>
    <t xml:space="preserve">Beacon / find-me</t>
  </si>
  <si>
    <t xml:space="preserve">Lost-crew / lost-packet</t>
  </si>
  <si>
    <t xml:space="preserve">Spare interface plate</t>
  </si>
  <si>
    <t xml:space="preserve">34</t>
  </si>
  <si>
    <t xml:space="preserve">Grow the grid</t>
  </si>
  <si>
    <t xml:space="preserve">Dust-wiper module</t>
  </si>
  <si>
    <t xml:space="preserve">Keep solar alive</t>
  </si>
  <si>
    <t xml:space="preserve">Leg / walk packet (bot)</t>
  </si>
  <si>
    <t xml:space="preserve">Legged scout</t>
  </si>
  <si>
    <t xml:space="preserve">Fits Tesla-Bot-class thinking</t>
  </si>
  <si>
    <t xml:space="preserve">G-force / IMU brick</t>
  </si>
  <si>
    <t xml:space="preserve">Motion log</t>
  </si>
  <si>
    <t xml:space="preserve">Nanocraft-adjacent</t>
  </si>
  <si>
    <t xml:space="preserve">Vestibule tunnel ring</t>
  </si>
  <si>
    <t xml:space="preserve">3</t>
  </si>
  <si>
    <t xml:space="preserve">Connect volumes</t>
  </si>
  <si>
    <t xml:space="preserve">Waste lock brick</t>
  </si>
  <si>
    <t xml:space="preserve">Close the loop</t>
  </si>
  <si>
    <t xml:space="preserve">Store-and-forward brick</t>
  </si>
  <si>
    <t xml:space="preserve">Delay-tolerant net</t>
  </si>
  <si>
    <t xml:space="preserve">Anchor / guy kit</t>
  </si>
  <si>
    <t xml:space="preserve">Wind / storm hold-down</t>
  </si>
  <si>
    <t xml:space="preserve">Cutting / drill brick</t>
  </si>
  <si>
    <t xml:space="preserve">6</t>
  </si>
  <si>
    <t xml:space="preserve">Modify site / parts</t>
  </si>
  <si>
    <t xml:space="preserve">Dump load / heater brick</t>
  </si>
  <si>
    <t xml:space="preserve">Use surplus / keep warm</t>
  </si>
  <si>
    <t xml:space="preserve">Work surface / bench</t>
  </si>
  <si>
    <t xml:space="preserve">1,34</t>
  </si>
  <si>
    <t xml:space="preserve">Assemble other n</t>
  </si>
  <si>
    <t xml:space="preserve">TOTALS (filled rows only)</t>
  </si>
  <si>
    <t xml:space="preserve">must equal 1 — generator n = 1 + 0</t>
  </si>
  <si>
    <t xml:space="preserve">n_max filled</t>
  </si>
  <si>
    <t xml:space="preserve">Core catalog lb</t>
  </si>
  <si>
    <t xml:space="preserve">Enabling catalog lb</t>
  </si>
  <si>
    <t xml:space="preserve">Optional catalog lb</t>
  </si>
  <si>
    <t xml:space="preserve">CATEGORY × CLASS MATRIX</t>
  </si>
  <si>
    <t xml:space="preserve">Core lb</t>
  </si>
  <si>
    <t xml:space="preserve">Enabling lb</t>
  </si>
  <si>
    <t xml:space="preserve">Optional lb</t>
  </si>
  <si>
    <t xml:space="preserve">Total lb</t>
  </si>
  <si>
    <t xml:space="preserve">Item count</t>
  </si>
  <si>
    <t xml:space="preserve">ALL</t>
  </si>
  <si>
    <t xml:space="preserve">How to read</t>
  </si>
  <si>
    <t xml:space="preserve">Each category is the sum of catalog pounds sitting in that class. Core = needed for a minimal useful site. Enabling = unlocks Core to actually work. Optional = quality, science, comfort, extra margin. None of these rows are a commitment to fly.</t>
  </si>
  <si>
    <t xml:space="preserve">ADD A ROW WITHOUT BREAKING n = 1 + 0</t>
  </si>
  <si>
    <t xml:space="preserve">1. Next empty n on Catalog is already numbered (51–60 reserved).</t>
  </si>
  <si>
    <t xml:space="preserve">2. Fill Category, Item, Catalog lb (blue), Assembly k (blue), class, depends, enables, notes.</t>
  </si>
  <si>
    <t xml:space="preserve">3. Do not put anything in row index 0. Do not renumber existing n downward.</t>
  </si>
  <si>
    <t xml:space="preserve">4. If an item is retired, keep its n and mark class or notes “retired”. Do not collapse to zero.</t>
  </si>
  <si>
    <t xml:space="preserve">5. Depends-on uses other n values (example: 5,6). Use — if it depends on nothing.</t>
  </si>
  <si>
    <t xml:space="preserve">6. Category matrix and totals update from the Catalog sheet automatically.</t>
  </si>
  <si>
    <t xml:space="preserve">7. Catalog lb may be a decimal (0.25 sensor). Packet ceil always rounds up to a whole pound.</t>
  </si>
  <si>
    <t xml:space="preserve">8. This file is the could-go matrix. A later flight pick-list is a filter on class + n, not a new index system.</t>
  </si>
  <si>
    <t xml:space="preserve">Generator check</t>
  </si>
  <si>
    <t xml:space="preserve">must be 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</si>
</sst>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"/>
    <numFmt numFmtId="168" formatCode="#,##0.00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1B3A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i val="true"/>
      <sz val="10"/>
      <color rgb="FF1B3A4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4B"/>
        <bgColor rgb="FF333333"/>
      </patternFill>
    </fill>
    <fill>
      <patternFill patternType="solid">
        <fgColor rgb="FFFFF3B0"/>
        <bgColor rgb="FFF5E6D3"/>
      </patternFill>
    </fill>
    <fill>
      <patternFill patternType="solid">
        <fgColor rgb="FFE8F1F5"/>
        <bgColor rgb="FFF4F7F8"/>
      </patternFill>
    </fill>
    <fill>
      <patternFill patternType="solid">
        <fgColor rgb="FFD8E8D8"/>
        <bgColor rgb="FFD6E4F0"/>
      </patternFill>
    </fill>
    <fill>
      <patternFill patternType="solid">
        <fgColor rgb="FFD6E4F0"/>
        <bgColor rgb="FFD8E8D8"/>
      </patternFill>
    </fill>
    <fill>
      <patternFill patternType="solid">
        <fgColor rgb="FFF5E6D3"/>
        <bgColor rgb="FFE8F1F5"/>
      </patternFill>
    </fill>
    <fill>
      <patternFill patternType="solid">
        <fgColor rgb="FFF4F7F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3A4B"/>
          <bgColor rgb="FF000000"/>
        </patternFill>
      </fill>
    </dxf>
    <dxf>
      <fill>
        <patternFill patternType="solid">
          <fgColor rgb="FFE8F1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8E8D8"/>
          <bgColor rgb="FF000000"/>
        </patternFill>
      </fill>
    </dxf>
    <dxf>
      <fill>
        <patternFill patternType="solid">
          <fgColor rgb="FFF5E6D3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78787"/>
      <rgbColor rgb="FF9999FF"/>
      <rgbColor rgb="FFC0504D"/>
      <rgbColor rgb="FFF9F9F9"/>
      <rgbColor rgb="FFE8F1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8E8D8"/>
      <rgbColor rgb="FFFFF3B0"/>
      <rgbColor rgb="FFF4F7F8"/>
      <rgbColor rgb="FFFF99CC"/>
      <rgbColor rgb="FFCC99FF"/>
      <rgbColor rgb="FFF5E6D3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B3A4B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Catalog pounds by category and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'Category matrix'!B3</c:f>
              <c:strCache>
                <c:ptCount val="1"/>
                <c:pt idx="0">
                  <c:v>Core lb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matrix'!$A$4:$A$11</c:f>
              <c:strCache>
                <c:ptCount val="8"/>
                <c:pt idx="0">
                  <c:v>Habitat</c:v>
                </c:pt>
                <c:pt idx="1">
                  <c:v>Power</c:v>
                </c:pt>
                <c:pt idx="2">
                  <c:v>Mobility</c:v>
                </c:pt>
                <c:pt idx="3">
                  <c:v>Life support</c:v>
                </c:pt>
                <c:pt idx="4">
                  <c:v>Comms</c:v>
                </c:pt>
                <c:pt idx="5">
                  <c:v>Manufacture</c:v>
                </c:pt>
                <c:pt idx="6">
                  <c:v>Science</c:v>
                </c:pt>
                <c:pt idx="7">
                  <c:v>Safety</c:v>
                </c:pt>
              </c:strCache>
            </c:strRef>
          </c:cat>
          <c:val>
            <c:numRef>
              <c:f>'Category matrix'!$B$4:$B$11</c:f>
              <c:numCache>
                <c:formatCode>#,##0.00</c:formatCode>
                <c:ptCount val="8"/>
                <c:pt idx="0">
                  <c:v>9</c:v>
                </c:pt>
                <c:pt idx="1">
                  <c:v>3</c:v>
                </c:pt>
                <c:pt idx="2">
                  <c:v>0</c:v>
                </c:pt>
                <c:pt idx="3">
                  <c:v>14</c:v>
                </c:pt>
                <c:pt idx="4">
                  <c:v>15</c:v>
                </c:pt>
                <c:pt idx="5">
                  <c:v>2</c:v>
                </c:pt>
                <c:pt idx="6">
                  <c:v>0</c:v>
                </c:pt>
                <c:pt idx="7">
                  <c:v>8</c:v>
                </c:pt>
              </c:numCache>
            </c:numRef>
          </c:val>
        </c:ser>
        <c:ser>
          <c:idx val="1"/>
          <c:order val="1"/>
          <c:tx>
            <c:strRef>
              <c:f>'Category matrix'!C3</c:f>
              <c:strCache>
                <c:ptCount val="1"/>
                <c:pt idx="0">
                  <c:v>Enabling lb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matrix'!$A$4:$A$11</c:f>
              <c:strCache>
                <c:ptCount val="8"/>
                <c:pt idx="0">
                  <c:v>Habitat</c:v>
                </c:pt>
                <c:pt idx="1">
                  <c:v>Power</c:v>
                </c:pt>
                <c:pt idx="2">
                  <c:v>Mobility</c:v>
                </c:pt>
                <c:pt idx="3">
                  <c:v>Life support</c:v>
                </c:pt>
                <c:pt idx="4">
                  <c:v>Comms</c:v>
                </c:pt>
                <c:pt idx="5">
                  <c:v>Manufacture</c:v>
                </c:pt>
                <c:pt idx="6">
                  <c:v>Science</c:v>
                </c:pt>
                <c:pt idx="7">
                  <c:v>Safety</c:v>
                </c:pt>
              </c:strCache>
            </c:strRef>
          </c:cat>
          <c:val>
            <c:numRef>
              <c:f>'Category matrix'!$C$4:$C$11</c:f>
              <c:numCache>
                <c:formatCode>#,##0.00</c:formatCode>
                <c:ptCount val="8"/>
                <c:pt idx="0">
                  <c:v>21</c:v>
                </c:pt>
                <c:pt idx="1">
                  <c:v>7</c:v>
                </c:pt>
                <c:pt idx="2">
                  <c:v>32</c:v>
                </c:pt>
                <c:pt idx="3">
                  <c:v>14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9</c:v>
                </c:pt>
              </c:numCache>
            </c:numRef>
          </c:val>
        </c:ser>
        <c:ser>
          <c:idx val="2"/>
          <c:order val="2"/>
          <c:tx>
            <c:strRef>
              <c:f>'Category matrix'!D3</c:f>
              <c:strCache>
                <c:ptCount val="1"/>
                <c:pt idx="0">
                  <c:v>Optional lb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matrix'!$A$4:$A$11</c:f>
              <c:strCache>
                <c:ptCount val="8"/>
                <c:pt idx="0">
                  <c:v>Habitat</c:v>
                </c:pt>
                <c:pt idx="1">
                  <c:v>Power</c:v>
                </c:pt>
                <c:pt idx="2">
                  <c:v>Mobility</c:v>
                </c:pt>
                <c:pt idx="3">
                  <c:v>Life support</c:v>
                </c:pt>
                <c:pt idx="4">
                  <c:v>Comms</c:v>
                </c:pt>
                <c:pt idx="5">
                  <c:v>Manufacture</c:v>
                </c:pt>
                <c:pt idx="6">
                  <c:v>Science</c:v>
                </c:pt>
                <c:pt idx="7">
                  <c:v>Safety</c:v>
                </c:pt>
              </c:strCache>
            </c:strRef>
          </c:cat>
          <c:val>
            <c:numRef>
              <c:f>'Category matrix'!$D$4:$D$11</c:f>
              <c:numCache>
                <c:formatCode>#,##0.00</c:formatCode>
                <c:ptCount val="8"/>
                <c:pt idx="0">
                  <c:v>61</c:v>
                </c:pt>
                <c:pt idx="1">
                  <c:v>30</c:v>
                </c:pt>
                <c:pt idx="2">
                  <c:v>25</c:v>
                </c:pt>
                <c:pt idx="3">
                  <c:v>10</c:v>
                </c:pt>
                <c:pt idx="4">
                  <c:v>14</c:v>
                </c:pt>
                <c:pt idx="5">
                  <c:v>30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</c:ser>
        <c:gapWidth val="150"/>
        <c:overlap val="100"/>
        <c:axId val="7549481"/>
        <c:axId val="57174978"/>
      </c:barChart>
      <c:catAx>
        <c:axId val="7549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74978"/>
        <c:crosses val="autoZero"/>
        <c:auto val="1"/>
        <c:lblAlgn val="ctr"/>
        <c:lblOffset val="100"/>
        <c:noMultiLvlLbl val="0"/>
      </c:catAx>
      <c:valAx>
        <c:axId val="57174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Catalog lb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9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558360</xdr:colOff>
      <xdr:row>31</xdr:row>
      <xdr:rowOff>720</xdr:rowOff>
    </xdr:to>
    <xdr:graphicFrame>
      <xdr:nvGraphicFramePr>
        <xdr:cNvPr id="0" name="Chart 1"/>
        <xdr:cNvGraphicFramePr/>
      </xdr:nvGraphicFramePr>
      <xdr:xfrm>
        <a:off x="0" y="2800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8"/>
    <col collapsed="false" customWidth="true" hidden="false" outlineLevel="0" max="4" min="4" style="1" width="42"/>
    <col collapsed="false" customWidth="true" hidden="false" outlineLevel="0" max="6" min="5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/>
      <c r="F6" s="6"/>
    </row>
    <row r="7" customFormat="false" ht="15" hidden="false" customHeight="true" outlineLevel="0" collapsed="false">
      <c r="A7" s="7" t="s">
        <v>8</v>
      </c>
      <c r="B7" s="7" t="s">
        <v>9</v>
      </c>
      <c r="C7" s="7" t="s">
        <v>10</v>
      </c>
      <c r="D7" s="7" t="s">
        <v>11</v>
      </c>
      <c r="E7" s="7"/>
      <c r="F7" s="7"/>
    </row>
    <row r="8" customFormat="false" ht="15" hidden="false" customHeight="true" outlineLevel="0" collapsed="false">
      <c r="A8" s="7" t="s">
        <v>12</v>
      </c>
      <c r="B8" s="7" t="s">
        <v>13</v>
      </c>
      <c r="C8" s="7" t="s">
        <v>14</v>
      </c>
      <c r="D8" s="7" t="s">
        <v>15</v>
      </c>
      <c r="E8" s="7"/>
      <c r="F8" s="7"/>
    </row>
    <row r="9" customFormat="false" ht="15" hidden="false" customHeight="true" outlineLevel="0" collapsed="false">
      <c r="A9" s="7" t="s">
        <v>16</v>
      </c>
      <c r="B9" s="7" t="s">
        <v>17</v>
      </c>
      <c r="C9" s="8" t="n">
        <f aca="false">1+0</f>
        <v>1</v>
      </c>
      <c r="D9" s="7" t="s">
        <v>18</v>
      </c>
      <c r="E9" s="7"/>
      <c r="F9" s="7"/>
    </row>
    <row r="10" customFormat="false" ht="15" hidden="false" customHeight="true" outlineLevel="0" collapsed="false">
      <c r="A10" s="7" t="s">
        <v>19</v>
      </c>
      <c r="B10" s="7" t="s">
        <v>20</v>
      </c>
      <c r="C10" s="7" t="s">
        <v>21</v>
      </c>
      <c r="D10" s="7" t="s">
        <v>22</v>
      </c>
      <c r="E10" s="7"/>
      <c r="F10" s="7"/>
    </row>
    <row r="11" customFormat="false" ht="15" hidden="false" customHeight="true" outlineLevel="0" collapsed="false">
      <c r="A11" s="7" t="s">
        <v>23</v>
      </c>
      <c r="B11" s="7" t="s">
        <v>24</v>
      </c>
      <c r="C11" s="7" t="s">
        <v>25</v>
      </c>
      <c r="D11" s="7" t="s">
        <v>26</v>
      </c>
      <c r="E11" s="7"/>
      <c r="F11" s="7"/>
    </row>
    <row r="12" customFormat="false" ht="23.25" hidden="false" customHeight="true" outlineLevel="0" collapsed="false">
      <c r="A12" s="7" t="s">
        <v>27</v>
      </c>
      <c r="B12" s="7" t="s">
        <v>28</v>
      </c>
      <c r="C12" s="7" t="s">
        <v>29</v>
      </c>
      <c r="D12" s="7" t="s">
        <v>30</v>
      </c>
      <c r="E12" s="7"/>
      <c r="F12" s="7"/>
    </row>
    <row r="13" customFormat="false" ht="15" hidden="false" customHeight="true" outlineLevel="0" collapsed="false">
      <c r="A13" s="7" t="s">
        <v>31</v>
      </c>
      <c r="B13" s="7" t="s">
        <v>32</v>
      </c>
      <c r="C13" s="7" t="s">
        <v>33</v>
      </c>
      <c r="D13" s="7" t="s">
        <v>34</v>
      </c>
      <c r="E13" s="7"/>
      <c r="F13" s="7"/>
    </row>
    <row r="16" customFormat="false" ht="15" hidden="false" customHeight="true" outlineLevel="0" collapsed="false">
      <c r="A16" s="9" t="s">
        <v>35</v>
      </c>
      <c r="B16" s="9"/>
      <c r="C16" s="9"/>
      <c r="D16" s="9"/>
      <c r="E16" s="9"/>
      <c r="F16" s="9"/>
    </row>
    <row r="17" customFormat="false" ht="19.5" hidden="false" customHeight="true" outlineLevel="0" collapsed="false">
      <c r="A17" s="10" t="s">
        <v>36</v>
      </c>
      <c r="B17" s="10"/>
      <c r="C17" s="10"/>
      <c r="D17" s="10"/>
      <c r="E17" s="10"/>
      <c r="F17" s="10"/>
    </row>
    <row r="18" customFormat="false" ht="19.5" hidden="false" customHeight="true" outlineLevel="0" collapsed="false">
      <c r="A18" s="10"/>
      <c r="B18" s="10"/>
      <c r="C18" s="10"/>
      <c r="D18" s="10"/>
      <c r="E18" s="10"/>
      <c r="F18" s="10"/>
    </row>
    <row r="19" customFormat="false" ht="19.5" hidden="false" customHeight="true" outlineLevel="0" collapsed="false">
      <c r="A19" s="10"/>
      <c r="B19" s="10"/>
      <c r="C19" s="10"/>
      <c r="D19" s="10"/>
      <c r="E19" s="10"/>
      <c r="F19" s="10"/>
    </row>
    <row r="20" customFormat="false" ht="19.5" hidden="false" customHeight="true" outlineLevel="0" collapsed="false">
      <c r="A20" s="10"/>
      <c r="B20" s="10"/>
      <c r="C20" s="10"/>
      <c r="D20" s="10"/>
      <c r="E20" s="10"/>
      <c r="F20" s="10"/>
    </row>
    <row r="22" customFormat="false" ht="15" hidden="false" customHeight="true" outlineLevel="0" collapsed="false">
      <c r="A22" s="11" t="s">
        <v>37</v>
      </c>
      <c r="B22" s="11"/>
      <c r="C22" s="11"/>
      <c r="D22" s="11"/>
      <c r="E22" s="11"/>
      <c r="F22" s="11"/>
    </row>
  </sheetData>
  <mergeCells count="6">
    <mergeCell ref="A1:F1"/>
    <mergeCell ref="A2:F2"/>
    <mergeCell ref="B4:F4"/>
    <mergeCell ref="A16:F16"/>
    <mergeCell ref="A17:F20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24"/>
    <col collapsed="false" customWidth="true" hidden="false" outlineLevel="0" max="10" min="10" style="1" width="36"/>
    <col collapsed="false" customWidth="true" hidden="false" outlineLevel="0" max="11" min="11" style="1" width="14"/>
    <col collapsed="false" customWidth="true" hidden="false" outlineLevel="0" max="12" min="12" style="1" width="16"/>
  </cols>
  <sheetData>
    <row r="1" customFormat="false" ht="25.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31.5" hidden="false" customHeight="true" outlineLevel="0" collapsed="false">
      <c r="A3" s="13" t="s">
        <v>8</v>
      </c>
      <c r="B3" s="13" t="s">
        <v>40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32</v>
      </c>
      <c r="H3" s="13" t="s">
        <v>45</v>
      </c>
      <c r="I3" s="13" t="s">
        <v>46</v>
      </c>
      <c r="J3" s="13" t="s">
        <v>7</v>
      </c>
      <c r="K3" s="13" t="s">
        <v>47</v>
      </c>
      <c r="L3" s="13" t="s">
        <v>48</v>
      </c>
    </row>
    <row r="4" customFormat="false" ht="18" hidden="false" customHeight="true" outlineLevel="0" collapsed="false">
      <c r="A4" s="14" t="n">
        <v>1</v>
      </c>
      <c r="B4" s="7" t="s">
        <v>49</v>
      </c>
      <c r="C4" s="7" t="s">
        <v>50</v>
      </c>
      <c r="D4" s="15" t="n">
        <v>1</v>
      </c>
      <c r="E4" s="16" t="n">
        <f aca="false">CEILING(D4,1)</f>
        <v>1</v>
      </c>
      <c r="F4" s="17" t="n">
        <v>4</v>
      </c>
      <c r="G4" s="18" t="s">
        <v>51</v>
      </c>
      <c r="H4" s="19" t="s">
        <v>52</v>
      </c>
      <c r="I4" s="7" t="s">
        <v>53</v>
      </c>
      <c r="J4" s="20" t="s">
        <v>54</v>
      </c>
      <c r="K4" s="21" t="n">
        <f aca="false">D4</f>
        <v>1</v>
      </c>
      <c r="L4" s="22" t="n">
        <f aca="false">E4</f>
        <v>1</v>
      </c>
    </row>
    <row r="5" customFormat="false" ht="18" hidden="false" customHeight="true" outlineLevel="0" collapsed="false">
      <c r="A5" s="14" t="n">
        <v>2</v>
      </c>
      <c r="B5" s="7" t="s">
        <v>49</v>
      </c>
      <c r="C5" s="7" t="s">
        <v>55</v>
      </c>
      <c r="D5" s="15" t="n">
        <v>8</v>
      </c>
      <c r="E5" s="16" t="n">
        <f aca="false">CEILING(D5,1)</f>
        <v>8</v>
      </c>
      <c r="F5" s="17" t="n">
        <v>4</v>
      </c>
      <c r="G5" s="18" t="s">
        <v>51</v>
      </c>
      <c r="H5" s="19" t="s">
        <v>56</v>
      </c>
      <c r="I5" s="7" t="s">
        <v>57</v>
      </c>
      <c r="J5" s="20" t="s">
        <v>58</v>
      </c>
      <c r="K5" s="21" t="n">
        <f aca="false">K4+D5</f>
        <v>9</v>
      </c>
      <c r="L5" s="22" t="n">
        <f aca="false">L4+E5</f>
        <v>9</v>
      </c>
    </row>
    <row r="6" customFormat="false" ht="18" hidden="false" customHeight="true" outlineLevel="0" collapsed="false">
      <c r="A6" s="14" t="n">
        <v>3</v>
      </c>
      <c r="B6" s="7" t="s">
        <v>49</v>
      </c>
      <c r="C6" s="7" t="s">
        <v>59</v>
      </c>
      <c r="D6" s="15" t="n">
        <v>18</v>
      </c>
      <c r="E6" s="16" t="n">
        <f aca="false">CEILING(D6,1)</f>
        <v>18</v>
      </c>
      <c r="F6" s="17" t="n">
        <v>1</v>
      </c>
      <c r="G6" s="23" t="s">
        <v>60</v>
      </c>
      <c r="H6" s="19" t="s">
        <v>61</v>
      </c>
      <c r="I6" s="7" t="s">
        <v>62</v>
      </c>
      <c r="J6" s="20"/>
      <c r="K6" s="21" t="n">
        <f aca="false">K5+D6</f>
        <v>27</v>
      </c>
      <c r="L6" s="22" t="n">
        <f aca="false">L5+E6</f>
        <v>27</v>
      </c>
    </row>
    <row r="7" customFormat="false" ht="18" hidden="false" customHeight="true" outlineLevel="0" collapsed="false">
      <c r="A7" s="14" t="n">
        <v>4</v>
      </c>
      <c r="B7" s="7" t="s">
        <v>49</v>
      </c>
      <c r="C7" s="7" t="s">
        <v>63</v>
      </c>
      <c r="D7" s="15" t="n">
        <v>6</v>
      </c>
      <c r="E7" s="16" t="n">
        <f aca="false">CEILING(D7,1)</f>
        <v>6</v>
      </c>
      <c r="F7" s="17" t="n">
        <v>1</v>
      </c>
      <c r="G7" s="24" t="s">
        <v>64</v>
      </c>
      <c r="H7" s="19" t="s">
        <v>61</v>
      </c>
      <c r="I7" s="7" t="s">
        <v>65</v>
      </c>
      <c r="J7" s="20"/>
      <c r="K7" s="21" t="n">
        <f aca="false">K6+D7</f>
        <v>33</v>
      </c>
      <c r="L7" s="22" t="n">
        <f aca="false">L6+E7</f>
        <v>33</v>
      </c>
    </row>
    <row r="8" customFormat="false" ht="18" hidden="false" customHeight="true" outlineLevel="0" collapsed="false">
      <c r="A8" s="14" t="n">
        <v>5</v>
      </c>
      <c r="B8" s="7" t="s">
        <v>66</v>
      </c>
      <c r="C8" s="7" t="s">
        <v>67</v>
      </c>
      <c r="D8" s="15" t="n">
        <v>1</v>
      </c>
      <c r="E8" s="16" t="n">
        <f aca="false">CEILING(D8,1)</f>
        <v>1</v>
      </c>
      <c r="F8" s="17" t="n">
        <v>8</v>
      </c>
      <c r="G8" s="18" t="s">
        <v>51</v>
      </c>
      <c r="H8" s="19" t="s">
        <v>52</v>
      </c>
      <c r="I8" s="7" t="s">
        <v>68</v>
      </c>
      <c r="J8" s="20" t="s">
        <v>69</v>
      </c>
      <c r="K8" s="21" t="n">
        <f aca="false">K7+D8</f>
        <v>34</v>
      </c>
      <c r="L8" s="22" t="n">
        <f aca="false">L7+E8</f>
        <v>34</v>
      </c>
    </row>
    <row r="9" customFormat="false" ht="18" hidden="false" customHeight="true" outlineLevel="0" collapsed="false">
      <c r="A9" s="14" t="n">
        <v>6</v>
      </c>
      <c r="B9" s="7" t="s">
        <v>66</v>
      </c>
      <c r="C9" s="7" t="s">
        <v>70</v>
      </c>
      <c r="D9" s="15" t="n">
        <v>2</v>
      </c>
      <c r="E9" s="16" t="n">
        <f aca="false">CEILING(D9,1)</f>
        <v>2</v>
      </c>
      <c r="F9" s="17" t="n">
        <v>8</v>
      </c>
      <c r="G9" s="18" t="s">
        <v>51</v>
      </c>
      <c r="H9" s="19" t="s">
        <v>71</v>
      </c>
      <c r="I9" s="7" t="s">
        <v>72</v>
      </c>
      <c r="J9" s="20"/>
      <c r="K9" s="21" t="n">
        <f aca="false">K8+D9</f>
        <v>36</v>
      </c>
      <c r="L9" s="22" t="n">
        <f aca="false">L8+E9</f>
        <v>36</v>
      </c>
    </row>
    <row r="10" customFormat="false" ht="18" hidden="false" customHeight="true" outlineLevel="0" collapsed="false">
      <c r="A10" s="14" t="n">
        <v>7</v>
      </c>
      <c r="B10" s="7" t="s">
        <v>66</v>
      </c>
      <c r="C10" s="7" t="s">
        <v>73</v>
      </c>
      <c r="D10" s="15" t="n">
        <v>3</v>
      </c>
      <c r="E10" s="16" t="n">
        <f aca="false">CEILING(D10,1)</f>
        <v>3</v>
      </c>
      <c r="F10" s="17" t="n">
        <v>2</v>
      </c>
      <c r="G10" s="23" t="s">
        <v>60</v>
      </c>
      <c r="H10" s="19" t="s">
        <v>74</v>
      </c>
      <c r="I10" s="7" t="s">
        <v>75</v>
      </c>
      <c r="J10" s="20"/>
      <c r="K10" s="21" t="n">
        <f aca="false">K9+D10</f>
        <v>39</v>
      </c>
      <c r="L10" s="22" t="n">
        <f aca="false">L9+E10</f>
        <v>39</v>
      </c>
    </row>
    <row r="11" customFormat="false" ht="18" hidden="false" customHeight="true" outlineLevel="0" collapsed="false">
      <c r="A11" s="14" t="n">
        <v>8</v>
      </c>
      <c r="B11" s="7" t="s">
        <v>66</v>
      </c>
      <c r="C11" s="7" t="s">
        <v>76</v>
      </c>
      <c r="D11" s="15" t="n">
        <v>25</v>
      </c>
      <c r="E11" s="16" t="n">
        <f aca="false">CEILING(D11,1)</f>
        <v>25</v>
      </c>
      <c r="F11" s="17" t="n">
        <v>1</v>
      </c>
      <c r="G11" s="24" t="s">
        <v>64</v>
      </c>
      <c r="H11" s="19" t="s">
        <v>77</v>
      </c>
      <c r="I11" s="7" t="s">
        <v>78</v>
      </c>
      <c r="J11" s="20" t="s">
        <v>79</v>
      </c>
      <c r="K11" s="21" t="n">
        <f aca="false">K10+D11</f>
        <v>64</v>
      </c>
      <c r="L11" s="22" t="n">
        <f aca="false">L10+E11</f>
        <v>64</v>
      </c>
    </row>
    <row r="12" customFormat="false" ht="18" hidden="false" customHeight="true" outlineLevel="0" collapsed="false">
      <c r="A12" s="14" t="n">
        <v>9</v>
      </c>
      <c r="B12" s="7" t="s">
        <v>80</v>
      </c>
      <c r="C12" s="7" t="s">
        <v>81</v>
      </c>
      <c r="D12" s="15" t="n">
        <v>4</v>
      </c>
      <c r="E12" s="16" t="n">
        <f aca="false">CEILING(D12,1)</f>
        <v>4</v>
      </c>
      <c r="F12" s="17" t="n">
        <v>4</v>
      </c>
      <c r="G12" s="23" t="s">
        <v>60</v>
      </c>
      <c r="H12" s="19" t="s">
        <v>82</v>
      </c>
      <c r="I12" s="7" t="s">
        <v>83</v>
      </c>
      <c r="J12" s="20"/>
      <c r="K12" s="21" t="n">
        <f aca="false">K11+D12</f>
        <v>68</v>
      </c>
      <c r="L12" s="22" t="n">
        <f aca="false">L11+E12</f>
        <v>68</v>
      </c>
    </row>
    <row r="13" customFormat="false" ht="18" hidden="false" customHeight="true" outlineLevel="0" collapsed="false">
      <c r="A13" s="14" t="n">
        <v>10</v>
      </c>
      <c r="B13" s="7" t="s">
        <v>80</v>
      </c>
      <c r="C13" s="7" t="s">
        <v>84</v>
      </c>
      <c r="D13" s="15" t="n">
        <v>25</v>
      </c>
      <c r="E13" s="16" t="n">
        <f aca="false">CEILING(D13,1)</f>
        <v>25</v>
      </c>
      <c r="F13" s="17" t="n">
        <v>1</v>
      </c>
      <c r="G13" s="23" t="s">
        <v>60</v>
      </c>
      <c r="H13" s="19" t="s">
        <v>85</v>
      </c>
      <c r="I13" s="7" t="s">
        <v>86</v>
      </c>
      <c r="J13" s="20"/>
      <c r="K13" s="21" t="n">
        <f aca="false">K12+D13</f>
        <v>93</v>
      </c>
      <c r="L13" s="22" t="n">
        <f aca="false">L12+E13</f>
        <v>93</v>
      </c>
    </row>
    <row r="14" customFormat="false" ht="18" hidden="false" customHeight="true" outlineLevel="0" collapsed="false">
      <c r="A14" s="14" t="n">
        <v>11</v>
      </c>
      <c r="B14" s="7" t="s">
        <v>80</v>
      </c>
      <c r="C14" s="7" t="s">
        <v>87</v>
      </c>
      <c r="D14" s="15" t="n">
        <v>3</v>
      </c>
      <c r="E14" s="16" t="n">
        <f aca="false">CEILING(D14,1)</f>
        <v>3</v>
      </c>
      <c r="F14" s="17" t="n">
        <v>1</v>
      </c>
      <c r="G14" s="23" t="s">
        <v>60</v>
      </c>
      <c r="H14" s="19" t="s">
        <v>52</v>
      </c>
      <c r="I14" s="7" t="s">
        <v>88</v>
      </c>
      <c r="J14" s="20"/>
      <c r="K14" s="21" t="n">
        <f aca="false">K13+D14</f>
        <v>96</v>
      </c>
      <c r="L14" s="22" t="n">
        <f aca="false">L13+E14</f>
        <v>96</v>
      </c>
    </row>
    <row r="15" customFormat="false" ht="18" hidden="false" customHeight="true" outlineLevel="0" collapsed="false">
      <c r="A15" s="14" t="n">
        <v>12</v>
      </c>
      <c r="B15" s="7" t="s">
        <v>80</v>
      </c>
      <c r="C15" s="7" t="s">
        <v>89</v>
      </c>
      <c r="D15" s="15" t="n">
        <v>7</v>
      </c>
      <c r="E15" s="16" t="n">
        <f aca="false">CEILING(D15,1)</f>
        <v>7</v>
      </c>
      <c r="F15" s="17" t="n">
        <v>3</v>
      </c>
      <c r="G15" s="24" t="s">
        <v>64</v>
      </c>
      <c r="H15" s="19" t="s">
        <v>82</v>
      </c>
      <c r="I15" s="7" t="s">
        <v>90</v>
      </c>
      <c r="J15" s="20"/>
      <c r="K15" s="21" t="n">
        <f aca="false">K14+D15</f>
        <v>103</v>
      </c>
      <c r="L15" s="22" t="n">
        <f aca="false">L14+E15</f>
        <v>103</v>
      </c>
    </row>
    <row r="16" customFormat="false" ht="18" hidden="false" customHeight="true" outlineLevel="0" collapsed="false">
      <c r="A16" s="14" t="n">
        <v>13</v>
      </c>
      <c r="B16" s="7" t="s">
        <v>91</v>
      </c>
      <c r="C16" s="7" t="s">
        <v>92</v>
      </c>
      <c r="D16" s="15" t="n">
        <v>12</v>
      </c>
      <c r="E16" s="16" t="n">
        <f aca="false">CEILING(D16,1)</f>
        <v>12</v>
      </c>
      <c r="F16" s="17" t="n">
        <v>1</v>
      </c>
      <c r="G16" s="18" t="s">
        <v>51</v>
      </c>
      <c r="H16" s="19" t="s">
        <v>93</v>
      </c>
      <c r="I16" s="7" t="s">
        <v>94</v>
      </c>
      <c r="J16" s="20"/>
      <c r="K16" s="21" t="n">
        <f aca="false">K15+D16</f>
        <v>115</v>
      </c>
      <c r="L16" s="22" t="n">
        <f aca="false">L15+E16</f>
        <v>115</v>
      </c>
    </row>
    <row r="17" customFormat="false" ht="18" hidden="false" customHeight="true" outlineLevel="0" collapsed="false">
      <c r="A17" s="14" t="n">
        <v>14</v>
      </c>
      <c r="B17" s="7" t="s">
        <v>91</v>
      </c>
      <c r="C17" s="7" t="s">
        <v>95</v>
      </c>
      <c r="D17" s="15" t="n">
        <v>2</v>
      </c>
      <c r="E17" s="16" t="n">
        <f aca="false">CEILING(D17,1)</f>
        <v>2</v>
      </c>
      <c r="F17" s="17" t="n">
        <v>6</v>
      </c>
      <c r="G17" s="18" t="s">
        <v>51</v>
      </c>
      <c r="H17" s="19" t="s">
        <v>96</v>
      </c>
      <c r="I17" s="7" t="s">
        <v>97</v>
      </c>
      <c r="J17" s="20"/>
      <c r="K17" s="21" t="n">
        <f aca="false">K16+D17</f>
        <v>117</v>
      </c>
      <c r="L17" s="22" t="n">
        <f aca="false">L16+E17</f>
        <v>117</v>
      </c>
    </row>
    <row r="18" customFormat="false" ht="18" hidden="false" customHeight="true" outlineLevel="0" collapsed="false">
      <c r="A18" s="14" t="n">
        <v>15</v>
      </c>
      <c r="B18" s="7" t="s">
        <v>91</v>
      </c>
      <c r="C18" s="7" t="s">
        <v>98</v>
      </c>
      <c r="D18" s="15" t="n">
        <v>5</v>
      </c>
      <c r="E18" s="16" t="n">
        <f aca="false">CEILING(D18,1)</f>
        <v>5</v>
      </c>
      <c r="F18" s="17" t="n">
        <v>2</v>
      </c>
      <c r="G18" s="23" t="s">
        <v>60</v>
      </c>
      <c r="H18" s="19" t="s">
        <v>96</v>
      </c>
      <c r="I18" s="7" t="s">
        <v>99</v>
      </c>
      <c r="J18" s="20"/>
      <c r="K18" s="21" t="n">
        <f aca="false">K17+D18</f>
        <v>122</v>
      </c>
      <c r="L18" s="22" t="n">
        <f aca="false">L17+E18</f>
        <v>122</v>
      </c>
    </row>
    <row r="19" customFormat="false" ht="18" hidden="false" customHeight="true" outlineLevel="0" collapsed="false">
      <c r="A19" s="14" t="n">
        <v>16</v>
      </c>
      <c r="B19" s="7" t="s">
        <v>91</v>
      </c>
      <c r="C19" s="7" t="s">
        <v>100</v>
      </c>
      <c r="D19" s="15" t="n">
        <v>4</v>
      </c>
      <c r="E19" s="16" t="n">
        <f aca="false">CEILING(D19,1)</f>
        <v>4</v>
      </c>
      <c r="F19" s="17" t="n">
        <v>2</v>
      </c>
      <c r="G19" s="24" t="s">
        <v>64</v>
      </c>
      <c r="H19" s="19" t="s">
        <v>52</v>
      </c>
      <c r="I19" s="7" t="s">
        <v>101</v>
      </c>
      <c r="J19" s="20"/>
      <c r="K19" s="21" t="n">
        <f aca="false">K18+D19</f>
        <v>126</v>
      </c>
      <c r="L19" s="22" t="n">
        <f aca="false">L18+E19</f>
        <v>126</v>
      </c>
    </row>
    <row r="20" customFormat="false" ht="18" hidden="false" customHeight="true" outlineLevel="0" collapsed="false">
      <c r="A20" s="14" t="n">
        <v>17</v>
      </c>
      <c r="B20" s="7" t="s">
        <v>102</v>
      </c>
      <c r="C20" s="7" t="s">
        <v>103</v>
      </c>
      <c r="D20" s="15" t="n">
        <v>15</v>
      </c>
      <c r="E20" s="16" t="n">
        <f aca="false">CEILING(D20,1)</f>
        <v>15</v>
      </c>
      <c r="F20" s="17" t="n">
        <v>1</v>
      </c>
      <c r="G20" s="18" t="s">
        <v>51</v>
      </c>
      <c r="H20" s="19" t="s">
        <v>93</v>
      </c>
      <c r="I20" s="7" t="s">
        <v>104</v>
      </c>
      <c r="J20" s="20"/>
      <c r="K20" s="21" t="n">
        <f aca="false">K19+D20</f>
        <v>141</v>
      </c>
      <c r="L20" s="22" t="n">
        <f aca="false">L19+E20</f>
        <v>141</v>
      </c>
    </row>
    <row r="21" customFormat="false" ht="18" hidden="false" customHeight="true" outlineLevel="0" collapsed="false">
      <c r="A21" s="14" t="n">
        <v>18</v>
      </c>
      <c r="B21" s="7" t="s">
        <v>102</v>
      </c>
      <c r="C21" s="7" t="s">
        <v>105</v>
      </c>
      <c r="D21" s="15" t="n">
        <v>1</v>
      </c>
      <c r="E21" s="16" t="n">
        <f aca="false">CEILING(D21,1)</f>
        <v>1</v>
      </c>
      <c r="F21" s="17" t="n">
        <v>8</v>
      </c>
      <c r="G21" s="23" t="s">
        <v>60</v>
      </c>
      <c r="H21" s="19" t="s">
        <v>106</v>
      </c>
      <c r="I21" s="7" t="s">
        <v>107</v>
      </c>
      <c r="J21" s="20" t="s">
        <v>108</v>
      </c>
      <c r="K21" s="21" t="n">
        <f aca="false">K20+D21</f>
        <v>142</v>
      </c>
      <c r="L21" s="22" t="n">
        <f aca="false">L20+E21</f>
        <v>142</v>
      </c>
    </row>
    <row r="22" customFormat="false" ht="18" hidden="false" customHeight="true" outlineLevel="0" collapsed="false">
      <c r="A22" s="14" t="n">
        <v>19</v>
      </c>
      <c r="B22" s="7" t="s">
        <v>102</v>
      </c>
      <c r="C22" s="7" t="s">
        <v>109</v>
      </c>
      <c r="D22" s="15" t="n">
        <v>2</v>
      </c>
      <c r="E22" s="16" t="n">
        <f aca="false">CEILING(D22,1)</f>
        <v>2</v>
      </c>
      <c r="F22" s="17" t="n">
        <v>4</v>
      </c>
      <c r="G22" s="23" t="s">
        <v>60</v>
      </c>
      <c r="H22" s="19" t="s">
        <v>110</v>
      </c>
      <c r="I22" s="7" t="s">
        <v>111</v>
      </c>
      <c r="J22" s="20"/>
      <c r="K22" s="21" t="n">
        <f aca="false">K21+D22</f>
        <v>144</v>
      </c>
      <c r="L22" s="22" t="n">
        <f aca="false">L21+E22</f>
        <v>144</v>
      </c>
    </row>
    <row r="23" customFormat="false" ht="18" hidden="false" customHeight="true" outlineLevel="0" collapsed="false">
      <c r="A23" s="14" t="n">
        <v>20</v>
      </c>
      <c r="B23" s="7" t="s">
        <v>112</v>
      </c>
      <c r="C23" s="7" t="s">
        <v>113</v>
      </c>
      <c r="D23" s="15" t="n">
        <v>1</v>
      </c>
      <c r="E23" s="16" t="n">
        <f aca="false">CEILING(D23,1)</f>
        <v>1</v>
      </c>
      <c r="F23" s="17" t="n">
        <v>20</v>
      </c>
      <c r="G23" s="23" t="s">
        <v>60</v>
      </c>
      <c r="H23" s="19" t="s">
        <v>52</v>
      </c>
      <c r="I23" s="7" t="s">
        <v>114</v>
      </c>
      <c r="J23" s="20" t="s">
        <v>115</v>
      </c>
      <c r="K23" s="21" t="n">
        <f aca="false">K22+D23</f>
        <v>145</v>
      </c>
      <c r="L23" s="22" t="n">
        <f aca="false">L22+E23</f>
        <v>145</v>
      </c>
    </row>
    <row r="24" customFormat="false" ht="18" hidden="false" customHeight="true" outlineLevel="0" collapsed="false">
      <c r="A24" s="14" t="n">
        <v>21</v>
      </c>
      <c r="B24" s="7" t="s">
        <v>112</v>
      </c>
      <c r="C24" s="7" t="s">
        <v>116</v>
      </c>
      <c r="D24" s="15" t="n">
        <v>9</v>
      </c>
      <c r="E24" s="16" t="n">
        <f aca="false">CEILING(D24,1)</f>
        <v>9</v>
      </c>
      <c r="F24" s="17" t="n">
        <v>1</v>
      </c>
      <c r="G24" s="24" t="s">
        <v>64</v>
      </c>
      <c r="H24" s="19" t="s">
        <v>117</v>
      </c>
      <c r="I24" s="7" t="s">
        <v>118</v>
      </c>
      <c r="J24" s="20"/>
      <c r="K24" s="21" t="n">
        <f aca="false">K23+D24</f>
        <v>154</v>
      </c>
      <c r="L24" s="22" t="n">
        <f aca="false">L23+E24</f>
        <v>154</v>
      </c>
    </row>
    <row r="25" customFormat="false" ht="18" hidden="false" customHeight="true" outlineLevel="0" collapsed="false">
      <c r="A25" s="14" t="n">
        <v>22</v>
      </c>
      <c r="B25" s="7" t="s">
        <v>112</v>
      </c>
      <c r="C25" s="7" t="s">
        <v>119</v>
      </c>
      <c r="D25" s="15" t="n">
        <v>14</v>
      </c>
      <c r="E25" s="16" t="n">
        <f aca="false">CEILING(D25,1)</f>
        <v>14</v>
      </c>
      <c r="F25" s="17" t="n">
        <v>1</v>
      </c>
      <c r="G25" s="24" t="s">
        <v>64</v>
      </c>
      <c r="H25" s="19" t="s">
        <v>117</v>
      </c>
      <c r="I25" s="7" t="s">
        <v>120</v>
      </c>
      <c r="J25" s="20"/>
      <c r="K25" s="21" t="n">
        <f aca="false">K24+D25</f>
        <v>168</v>
      </c>
      <c r="L25" s="22" t="n">
        <f aca="false">L24+E25</f>
        <v>168</v>
      </c>
    </row>
    <row r="26" customFormat="false" ht="18" hidden="false" customHeight="true" outlineLevel="0" collapsed="false">
      <c r="A26" s="14" t="n">
        <v>23</v>
      </c>
      <c r="B26" s="7" t="s">
        <v>121</v>
      </c>
      <c r="C26" s="7" t="s">
        <v>122</v>
      </c>
      <c r="D26" s="15" t="n">
        <v>3</v>
      </c>
      <c r="E26" s="16" t="n">
        <f aca="false">CEILING(D26,1)</f>
        <v>3</v>
      </c>
      <c r="F26" s="17" t="n">
        <v>1</v>
      </c>
      <c r="G26" s="23" t="s">
        <v>60</v>
      </c>
      <c r="H26" s="19" t="s">
        <v>123</v>
      </c>
      <c r="I26" s="7" t="s">
        <v>124</v>
      </c>
      <c r="J26" s="20"/>
      <c r="K26" s="21" t="n">
        <f aca="false">K25+D26</f>
        <v>171</v>
      </c>
      <c r="L26" s="22" t="n">
        <f aca="false">L25+E26</f>
        <v>171</v>
      </c>
    </row>
    <row r="27" customFormat="false" ht="18" hidden="false" customHeight="true" outlineLevel="0" collapsed="false">
      <c r="A27" s="14" t="n">
        <v>24</v>
      </c>
      <c r="B27" s="7" t="s">
        <v>121</v>
      </c>
      <c r="C27" s="7" t="s">
        <v>125</v>
      </c>
      <c r="D27" s="15" t="n">
        <v>1</v>
      </c>
      <c r="E27" s="16" t="n">
        <f aca="false">CEILING(D27,1)</f>
        <v>1</v>
      </c>
      <c r="F27" s="17" t="n">
        <v>4</v>
      </c>
      <c r="G27" s="24" t="s">
        <v>64</v>
      </c>
      <c r="H27" s="19" t="s">
        <v>110</v>
      </c>
      <c r="I27" s="7" t="s">
        <v>126</v>
      </c>
      <c r="J27" s="20"/>
      <c r="K27" s="21" t="n">
        <f aca="false">K26+D27</f>
        <v>172</v>
      </c>
      <c r="L27" s="22" t="n">
        <f aca="false">L26+E27</f>
        <v>172</v>
      </c>
    </row>
    <row r="28" customFormat="false" ht="18" hidden="false" customHeight="true" outlineLevel="0" collapsed="false">
      <c r="A28" s="14" t="n">
        <v>25</v>
      </c>
      <c r="B28" s="7" t="s">
        <v>121</v>
      </c>
      <c r="C28" s="7" t="s">
        <v>127</v>
      </c>
      <c r="D28" s="15" t="n">
        <v>1</v>
      </c>
      <c r="E28" s="16" t="n">
        <f aca="false">CEILING(D28,1)</f>
        <v>1</v>
      </c>
      <c r="F28" s="17" t="n">
        <v>12</v>
      </c>
      <c r="G28" s="24" t="s">
        <v>64</v>
      </c>
      <c r="H28" s="19" t="s">
        <v>128</v>
      </c>
      <c r="I28" s="7" t="s">
        <v>129</v>
      </c>
      <c r="J28" s="20"/>
      <c r="K28" s="21" t="n">
        <f aca="false">K27+D28</f>
        <v>173</v>
      </c>
      <c r="L28" s="22" t="n">
        <f aca="false">L27+E28</f>
        <v>173</v>
      </c>
    </row>
    <row r="29" customFormat="false" ht="18" hidden="false" customHeight="true" outlineLevel="0" collapsed="false">
      <c r="A29" s="14" t="n">
        <v>26</v>
      </c>
      <c r="B29" s="7" t="s">
        <v>130</v>
      </c>
      <c r="C29" s="7" t="s">
        <v>131</v>
      </c>
      <c r="D29" s="15" t="n">
        <v>6</v>
      </c>
      <c r="E29" s="16" t="n">
        <f aca="false">CEILING(D29,1)</f>
        <v>6</v>
      </c>
      <c r="F29" s="17" t="n">
        <v>1</v>
      </c>
      <c r="G29" s="18" t="s">
        <v>51</v>
      </c>
      <c r="H29" s="19" t="s">
        <v>52</v>
      </c>
      <c r="I29" s="7" t="s">
        <v>132</v>
      </c>
      <c r="J29" s="20"/>
      <c r="K29" s="21" t="n">
        <f aca="false">K28+D29</f>
        <v>179</v>
      </c>
      <c r="L29" s="22" t="n">
        <f aca="false">L28+E29</f>
        <v>179</v>
      </c>
    </row>
    <row r="30" customFormat="false" ht="18" hidden="false" customHeight="true" outlineLevel="0" collapsed="false">
      <c r="A30" s="14" t="n">
        <v>27</v>
      </c>
      <c r="B30" s="7" t="s">
        <v>130</v>
      </c>
      <c r="C30" s="7" t="s">
        <v>133</v>
      </c>
      <c r="D30" s="15" t="n">
        <v>2</v>
      </c>
      <c r="E30" s="16" t="n">
        <f aca="false">CEILING(D30,1)</f>
        <v>2</v>
      </c>
      <c r="F30" s="17" t="n">
        <v>4</v>
      </c>
      <c r="G30" s="18" t="s">
        <v>51</v>
      </c>
      <c r="H30" s="19" t="s">
        <v>61</v>
      </c>
      <c r="I30" s="7" t="s">
        <v>134</v>
      </c>
      <c r="J30" s="20"/>
      <c r="K30" s="21" t="n">
        <f aca="false">K29+D30</f>
        <v>181</v>
      </c>
      <c r="L30" s="22" t="n">
        <f aca="false">L29+E30</f>
        <v>181</v>
      </c>
    </row>
    <row r="31" customFormat="false" ht="18" hidden="false" customHeight="true" outlineLevel="0" collapsed="false">
      <c r="A31" s="14" t="n">
        <v>28</v>
      </c>
      <c r="B31" s="7" t="s">
        <v>130</v>
      </c>
      <c r="C31" s="7" t="s">
        <v>135</v>
      </c>
      <c r="D31" s="15" t="n">
        <v>5</v>
      </c>
      <c r="E31" s="16" t="n">
        <f aca="false">CEILING(D31,1)</f>
        <v>5</v>
      </c>
      <c r="F31" s="17" t="n">
        <v>2</v>
      </c>
      <c r="G31" s="23" t="s">
        <v>60</v>
      </c>
      <c r="H31" s="19" t="s">
        <v>52</v>
      </c>
      <c r="I31" s="7" t="s">
        <v>136</v>
      </c>
      <c r="J31" s="20"/>
      <c r="K31" s="21" t="n">
        <f aca="false">K30+D31</f>
        <v>186</v>
      </c>
      <c r="L31" s="22" t="n">
        <f aca="false">L30+E31</f>
        <v>186</v>
      </c>
    </row>
    <row r="32" customFormat="false" ht="18" hidden="false" customHeight="true" outlineLevel="0" collapsed="false">
      <c r="A32" s="14" t="n">
        <v>29</v>
      </c>
      <c r="B32" s="7" t="s">
        <v>130</v>
      </c>
      <c r="C32" s="7" t="s">
        <v>137</v>
      </c>
      <c r="D32" s="15" t="n">
        <v>8</v>
      </c>
      <c r="E32" s="16" t="n">
        <f aca="false">CEILING(D32,1)</f>
        <v>8</v>
      </c>
      <c r="F32" s="17" t="n">
        <v>1</v>
      </c>
      <c r="G32" s="24" t="s">
        <v>64</v>
      </c>
      <c r="H32" s="19" t="s">
        <v>52</v>
      </c>
      <c r="I32" s="7" t="s">
        <v>138</v>
      </c>
      <c r="J32" s="20"/>
      <c r="K32" s="21" t="n">
        <f aca="false">K31+D32</f>
        <v>194</v>
      </c>
      <c r="L32" s="22" t="n">
        <f aca="false">L31+E32</f>
        <v>194</v>
      </c>
    </row>
    <row r="33" customFormat="false" ht="18" hidden="false" customHeight="true" outlineLevel="0" collapsed="false">
      <c r="A33" s="14" t="n">
        <v>30</v>
      </c>
      <c r="B33" s="7" t="s">
        <v>49</v>
      </c>
      <c r="C33" s="7" t="s">
        <v>139</v>
      </c>
      <c r="D33" s="15" t="n">
        <v>16</v>
      </c>
      <c r="E33" s="16" t="n">
        <f aca="false">CEILING(D33,1)</f>
        <v>16</v>
      </c>
      <c r="F33" s="17" t="n">
        <v>1</v>
      </c>
      <c r="G33" s="24" t="s">
        <v>64</v>
      </c>
      <c r="H33" s="19" t="s">
        <v>140</v>
      </c>
      <c r="I33" s="7" t="s">
        <v>141</v>
      </c>
      <c r="J33" s="20"/>
      <c r="K33" s="21" t="n">
        <f aca="false">K32+D33</f>
        <v>210</v>
      </c>
      <c r="L33" s="22" t="n">
        <f aca="false">L32+E33</f>
        <v>210</v>
      </c>
    </row>
    <row r="34" customFormat="false" ht="18" hidden="false" customHeight="true" outlineLevel="0" collapsed="false">
      <c r="A34" s="14" t="n">
        <v>31</v>
      </c>
      <c r="B34" s="7" t="s">
        <v>49</v>
      </c>
      <c r="C34" s="7" t="s">
        <v>142</v>
      </c>
      <c r="D34" s="15" t="n">
        <v>11</v>
      </c>
      <c r="E34" s="16" t="n">
        <f aca="false">CEILING(D34,1)</f>
        <v>11</v>
      </c>
      <c r="F34" s="17" t="n">
        <v>1</v>
      </c>
      <c r="G34" s="24" t="s">
        <v>64</v>
      </c>
      <c r="H34" s="19" t="s">
        <v>143</v>
      </c>
      <c r="I34" s="7" t="s">
        <v>144</v>
      </c>
      <c r="J34" s="20"/>
      <c r="K34" s="21" t="n">
        <f aca="false">K33+D34</f>
        <v>221</v>
      </c>
      <c r="L34" s="22" t="n">
        <f aca="false">L33+E34</f>
        <v>221</v>
      </c>
    </row>
    <row r="35" customFormat="false" ht="18" hidden="false" customHeight="true" outlineLevel="0" collapsed="false">
      <c r="A35" s="14" t="n">
        <v>32</v>
      </c>
      <c r="B35" s="7" t="s">
        <v>66</v>
      </c>
      <c r="C35" s="7" t="s">
        <v>145</v>
      </c>
      <c r="D35" s="15" t="n">
        <v>4</v>
      </c>
      <c r="E35" s="16" t="n">
        <f aca="false">CEILING(D35,1)</f>
        <v>4</v>
      </c>
      <c r="F35" s="17" t="n">
        <v>2</v>
      </c>
      <c r="G35" s="23" t="s">
        <v>60</v>
      </c>
      <c r="H35" s="19" t="s">
        <v>77</v>
      </c>
      <c r="I35" s="7" t="s">
        <v>146</v>
      </c>
      <c r="J35" s="20"/>
      <c r="K35" s="21" t="n">
        <f aca="false">K34+D35</f>
        <v>225</v>
      </c>
      <c r="L35" s="22" t="n">
        <f aca="false">L34+E35</f>
        <v>225</v>
      </c>
    </row>
    <row r="36" customFormat="false" ht="18" hidden="false" customHeight="true" outlineLevel="0" collapsed="false">
      <c r="A36" s="14" t="n">
        <v>33</v>
      </c>
      <c r="B36" s="7" t="s">
        <v>80</v>
      </c>
      <c r="C36" s="7" t="s">
        <v>147</v>
      </c>
      <c r="D36" s="15" t="n">
        <v>10</v>
      </c>
      <c r="E36" s="16" t="n">
        <f aca="false">CEILING(D36,1)</f>
        <v>10</v>
      </c>
      <c r="F36" s="17" t="n">
        <v>2</v>
      </c>
      <c r="G36" s="24" t="s">
        <v>64</v>
      </c>
      <c r="H36" s="19" t="s">
        <v>82</v>
      </c>
      <c r="I36" s="7" t="s">
        <v>148</v>
      </c>
      <c r="J36" s="20"/>
      <c r="K36" s="21" t="n">
        <f aca="false">K35+D36</f>
        <v>235</v>
      </c>
      <c r="L36" s="22" t="n">
        <f aca="false">L35+E36</f>
        <v>235</v>
      </c>
    </row>
    <row r="37" customFormat="false" ht="18" hidden="false" customHeight="true" outlineLevel="0" collapsed="false">
      <c r="A37" s="14" t="n">
        <v>34</v>
      </c>
      <c r="B37" s="7" t="s">
        <v>112</v>
      </c>
      <c r="C37" s="7" t="s">
        <v>149</v>
      </c>
      <c r="D37" s="15" t="n">
        <v>1</v>
      </c>
      <c r="E37" s="16" t="n">
        <f aca="false">CEILING(D37,1)</f>
        <v>1</v>
      </c>
      <c r="F37" s="17" t="n">
        <v>10</v>
      </c>
      <c r="G37" s="18" t="s">
        <v>51</v>
      </c>
      <c r="H37" s="19" t="s">
        <v>52</v>
      </c>
      <c r="I37" s="7" t="s">
        <v>150</v>
      </c>
      <c r="J37" s="20" t="s">
        <v>151</v>
      </c>
      <c r="K37" s="21" t="n">
        <f aca="false">K36+D37</f>
        <v>236</v>
      </c>
      <c r="L37" s="22" t="n">
        <f aca="false">L36+E37</f>
        <v>236</v>
      </c>
    </row>
    <row r="38" customFormat="false" ht="18" hidden="false" customHeight="true" outlineLevel="0" collapsed="false">
      <c r="A38" s="14" t="n">
        <v>35</v>
      </c>
      <c r="B38" s="7" t="s">
        <v>102</v>
      </c>
      <c r="C38" s="7" t="s">
        <v>152</v>
      </c>
      <c r="D38" s="15" t="n">
        <v>12</v>
      </c>
      <c r="E38" s="16" t="n">
        <f aca="false">CEILING(D38,1)</f>
        <v>12</v>
      </c>
      <c r="F38" s="17" t="n">
        <v>1</v>
      </c>
      <c r="G38" s="24" t="s">
        <v>64</v>
      </c>
      <c r="H38" s="19" t="s">
        <v>106</v>
      </c>
      <c r="I38" s="7" t="s">
        <v>153</v>
      </c>
      <c r="J38" s="20"/>
      <c r="K38" s="21" t="n">
        <f aca="false">K37+D38</f>
        <v>248</v>
      </c>
      <c r="L38" s="22" t="n">
        <f aca="false">L37+E38</f>
        <v>248</v>
      </c>
    </row>
    <row r="39" customFormat="false" ht="18" hidden="false" customHeight="true" outlineLevel="0" collapsed="false">
      <c r="A39" s="14" t="n">
        <v>36</v>
      </c>
      <c r="B39" s="7" t="s">
        <v>121</v>
      </c>
      <c r="C39" s="7" t="s">
        <v>154</v>
      </c>
      <c r="D39" s="15" t="n">
        <v>4</v>
      </c>
      <c r="E39" s="16" t="n">
        <f aca="false">CEILING(D39,1)</f>
        <v>4</v>
      </c>
      <c r="F39" s="17" t="n">
        <v>1</v>
      </c>
      <c r="G39" s="24" t="s">
        <v>64</v>
      </c>
      <c r="H39" s="19" t="s">
        <v>155</v>
      </c>
      <c r="I39" s="7" t="s">
        <v>156</v>
      </c>
      <c r="J39" s="20"/>
      <c r="K39" s="21" t="n">
        <f aca="false">K38+D39</f>
        <v>252</v>
      </c>
      <c r="L39" s="22" t="n">
        <f aca="false">L38+E39</f>
        <v>252</v>
      </c>
    </row>
    <row r="40" customFormat="false" ht="18" hidden="false" customHeight="true" outlineLevel="0" collapsed="false">
      <c r="A40" s="14" t="n">
        <v>37</v>
      </c>
      <c r="B40" s="7" t="s">
        <v>91</v>
      </c>
      <c r="C40" s="7" t="s">
        <v>157</v>
      </c>
      <c r="D40" s="15" t="n">
        <v>6</v>
      </c>
      <c r="E40" s="16" t="n">
        <f aca="false">CEILING(D40,1)</f>
        <v>6</v>
      </c>
      <c r="F40" s="17" t="n">
        <v>2</v>
      </c>
      <c r="G40" s="24" t="s">
        <v>64</v>
      </c>
      <c r="H40" s="19" t="s">
        <v>158</v>
      </c>
      <c r="I40" s="7" t="s">
        <v>159</v>
      </c>
      <c r="J40" s="20"/>
      <c r="K40" s="21" t="n">
        <f aca="false">K39+D40</f>
        <v>258</v>
      </c>
      <c r="L40" s="22" t="n">
        <f aca="false">L39+E40</f>
        <v>258</v>
      </c>
    </row>
    <row r="41" customFormat="false" ht="18" hidden="false" customHeight="true" outlineLevel="0" collapsed="false">
      <c r="A41" s="14" t="n">
        <v>38</v>
      </c>
      <c r="B41" s="7" t="s">
        <v>49</v>
      </c>
      <c r="C41" s="7" t="s">
        <v>160</v>
      </c>
      <c r="D41" s="15" t="n">
        <v>3</v>
      </c>
      <c r="E41" s="16" t="n">
        <f aca="false">CEILING(D41,1)</f>
        <v>3</v>
      </c>
      <c r="F41" s="17" t="n">
        <v>8</v>
      </c>
      <c r="G41" s="23" t="s">
        <v>60</v>
      </c>
      <c r="H41" s="19" t="s">
        <v>56</v>
      </c>
      <c r="I41" s="7" t="s">
        <v>161</v>
      </c>
      <c r="J41" s="20"/>
      <c r="K41" s="21" t="n">
        <f aca="false">K40+D41</f>
        <v>261</v>
      </c>
      <c r="L41" s="22" t="n">
        <f aca="false">L40+E41</f>
        <v>261</v>
      </c>
    </row>
    <row r="42" customFormat="false" ht="18" hidden="false" customHeight="true" outlineLevel="0" collapsed="false">
      <c r="A42" s="14" t="n">
        <v>39</v>
      </c>
      <c r="B42" s="7" t="s">
        <v>130</v>
      </c>
      <c r="C42" s="7" t="s">
        <v>162</v>
      </c>
      <c r="D42" s="15" t="n">
        <v>1</v>
      </c>
      <c r="E42" s="16" t="n">
        <f aca="false">CEILING(D42,1)</f>
        <v>1</v>
      </c>
      <c r="F42" s="17" t="n">
        <v>4</v>
      </c>
      <c r="G42" s="23" t="s">
        <v>60</v>
      </c>
      <c r="H42" s="19" t="s">
        <v>110</v>
      </c>
      <c r="I42" s="7" t="s">
        <v>163</v>
      </c>
      <c r="J42" s="20"/>
      <c r="K42" s="21" t="n">
        <f aca="false">K41+D42</f>
        <v>262</v>
      </c>
      <c r="L42" s="22" t="n">
        <f aca="false">L41+E42</f>
        <v>262</v>
      </c>
    </row>
    <row r="43" customFormat="false" ht="18" hidden="false" customHeight="true" outlineLevel="0" collapsed="false">
      <c r="A43" s="14" t="n">
        <v>40</v>
      </c>
      <c r="B43" s="7" t="s">
        <v>112</v>
      </c>
      <c r="C43" s="7" t="s">
        <v>164</v>
      </c>
      <c r="D43" s="15" t="n">
        <v>1</v>
      </c>
      <c r="E43" s="16" t="n">
        <f aca="false">CEILING(D43,1)</f>
        <v>1</v>
      </c>
      <c r="F43" s="17" t="n">
        <v>16</v>
      </c>
      <c r="G43" s="18" t="s">
        <v>51</v>
      </c>
      <c r="H43" s="19" t="s">
        <v>165</v>
      </c>
      <c r="I43" s="7" t="s">
        <v>166</v>
      </c>
      <c r="J43" s="20"/>
      <c r="K43" s="21" t="n">
        <f aca="false">K42+D43</f>
        <v>263</v>
      </c>
      <c r="L43" s="22" t="n">
        <f aca="false">L42+E43</f>
        <v>263</v>
      </c>
    </row>
    <row r="44" customFormat="false" ht="18" hidden="false" customHeight="true" outlineLevel="0" collapsed="false">
      <c r="A44" s="14" t="n">
        <v>41</v>
      </c>
      <c r="B44" s="7" t="s">
        <v>66</v>
      </c>
      <c r="C44" s="7" t="s">
        <v>167</v>
      </c>
      <c r="D44" s="15" t="n">
        <v>2</v>
      </c>
      <c r="E44" s="16" t="n">
        <f aca="false">CEILING(D44,1)</f>
        <v>2</v>
      </c>
      <c r="F44" s="17" t="n">
        <v>2</v>
      </c>
      <c r="G44" s="24" t="s">
        <v>64</v>
      </c>
      <c r="H44" s="19" t="s">
        <v>71</v>
      </c>
      <c r="I44" s="7" t="s">
        <v>168</v>
      </c>
      <c r="J44" s="20"/>
      <c r="K44" s="21" t="n">
        <f aca="false">K43+D44</f>
        <v>265</v>
      </c>
      <c r="L44" s="22" t="n">
        <f aca="false">L43+E44</f>
        <v>265</v>
      </c>
    </row>
    <row r="45" customFormat="false" ht="18" hidden="false" customHeight="true" outlineLevel="0" collapsed="false">
      <c r="A45" s="14" t="n">
        <v>42</v>
      </c>
      <c r="B45" s="7" t="s">
        <v>80</v>
      </c>
      <c r="C45" s="7" t="s">
        <v>169</v>
      </c>
      <c r="D45" s="15" t="n">
        <v>8</v>
      </c>
      <c r="E45" s="16" t="n">
        <f aca="false">CEILING(D45,1)</f>
        <v>8</v>
      </c>
      <c r="F45" s="17" t="n">
        <v>4</v>
      </c>
      <c r="G45" s="24" t="s">
        <v>64</v>
      </c>
      <c r="H45" s="19" t="s">
        <v>155</v>
      </c>
      <c r="I45" s="7" t="s">
        <v>170</v>
      </c>
      <c r="J45" s="20" t="s">
        <v>171</v>
      </c>
      <c r="K45" s="21" t="n">
        <f aca="false">K44+D45</f>
        <v>273</v>
      </c>
      <c r="L45" s="22" t="n">
        <f aca="false">L44+E45</f>
        <v>273</v>
      </c>
    </row>
    <row r="46" customFormat="false" ht="18" hidden="false" customHeight="true" outlineLevel="0" collapsed="false">
      <c r="A46" s="14" t="n">
        <v>43</v>
      </c>
      <c r="B46" s="7" t="s">
        <v>121</v>
      </c>
      <c r="C46" s="7" t="s">
        <v>172</v>
      </c>
      <c r="D46" s="15" t="n">
        <v>1</v>
      </c>
      <c r="E46" s="16" t="n">
        <f aca="false">CEILING(D46,1)</f>
        <v>1</v>
      </c>
      <c r="F46" s="17" t="n">
        <v>2</v>
      </c>
      <c r="G46" s="24" t="s">
        <v>64</v>
      </c>
      <c r="H46" s="19" t="s">
        <v>155</v>
      </c>
      <c r="I46" s="7" t="s">
        <v>173</v>
      </c>
      <c r="J46" s="20" t="s">
        <v>174</v>
      </c>
      <c r="K46" s="21" t="n">
        <f aca="false">K45+D46</f>
        <v>274</v>
      </c>
      <c r="L46" s="22" t="n">
        <f aca="false">L45+E46</f>
        <v>274</v>
      </c>
    </row>
    <row r="47" customFormat="false" ht="18" hidden="false" customHeight="true" outlineLevel="0" collapsed="false">
      <c r="A47" s="14" t="n">
        <v>44</v>
      </c>
      <c r="B47" s="7" t="s">
        <v>49</v>
      </c>
      <c r="C47" s="7" t="s">
        <v>175</v>
      </c>
      <c r="D47" s="15" t="n">
        <v>20</v>
      </c>
      <c r="E47" s="16" t="n">
        <f aca="false">CEILING(D47,1)</f>
        <v>20</v>
      </c>
      <c r="F47" s="17" t="n">
        <v>1</v>
      </c>
      <c r="G47" s="24" t="s">
        <v>64</v>
      </c>
      <c r="H47" s="19" t="s">
        <v>176</v>
      </c>
      <c r="I47" s="7" t="s">
        <v>177</v>
      </c>
      <c r="J47" s="20"/>
      <c r="K47" s="21" t="n">
        <f aca="false">K46+D47</f>
        <v>294</v>
      </c>
      <c r="L47" s="22" t="n">
        <f aca="false">L46+E47</f>
        <v>294</v>
      </c>
    </row>
    <row r="48" customFormat="false" ht="18" hidden="false" customHeight="true" outlineLevel="0" collapsed="false">
      <c r="A48" s="14" t="n">
        <v>45</v>
      </c>
      <c r="B48" s="7" t="s">
        <v>91</v>
      </c>
      <c r="C48" s="7" t="s">
        <v>178</v>
      </c>
      <c r="D48" s="15" t="n">
        <v>9</v>
      </c>
      <c r="E48" s="16" t="n">
        <f aca="false">CEILING(D48,1)</f>
        <v>9</v>
      </c>
      <c r="F48" s="17" t="n">
        <v>1</v>
      </c>
      <c r="G48" s="23" t="s">
        <v>60</v>
      </c>
      <c r="H48" s="19" t="s">
        <v>96</v>
      </c>
      <c r="I48" s="7" t="s">
        <v>179</v>
      </c>
      <c r="J48" s="20"/>
      <c r="K48" s="21" t="n">
        <f aca="false">K47+D48</f>
        <v>303</v>
      </c>
      <c r="L48" s="22" t="n">
        <f aca="false">L47+E48</f>
        <v>303</v>
      </c>
    </row>
    <row r="49" customFormat="false" ht="18" hidden="false" customHeight="true" outlineLevel="0" collapsed="false">
      <c r="A49" s="14" t="n">
        <v>46</v>
      </c>
      <c r="B49" s="7" t="s">
        <v>102</v>
      </c>
      <c r="C49" s="7" t="s">
        <v>180</v>
      </c>
      <c r="D49" s="15" t="n">
        <v>2</v>
      </c>
      <c r="E49" s="16" t="n">
        <f aca="false">CEILING(D49,1)</f>
        <v>2</v>
      </c>
      <c r="F49" s="17" t="n">
        <v>2</v>
      </c>
      <c r="G49" s="24" t="s">
        <v>64</v>
      </c>
      <c r="H49" s="19" t="s">
        <v>110</v>
      </c>
      <c r="I49" s="7" t="s">
        <v>181</v>
      </c>
      <c r="J49" s="20"/>
      <c r="K49" s="21" t="n">
        <f aca="false">K48+D49</f>
        <v>305</v>
      </c>
      <c r="L49" s="22" t="n">
        <f aca="false">L48+E49</f>
        <v>305</v>
      </c>
    </row>
    <row r="50" customFormat="false" ht="18" hidden="false" customHeight="true" outlineLevel="0" collapsed="false">
      <c r="A50" s="14" t="n">
        <v>47</v>
      </c>
      <c r="B50" s="7" t="s">
        <v>130</v>
      </c>
      <c r="C50" s="7" t="s">
        <v>182</v>
      </c>
      <c r="D50" s="15" t="n">
        <v>3</v>
      </c>
      <c r="E50" s="16" t="n">
        <f aca="false">CEILING(D50,1)</f>
        <v>3</v>
      </c>
      <c r="F50" s="17" t="n">
        <v>4</v>
      </c>
      <c r="G50" s="23" t="s">
        <v>60</v>
      </c>
      <c r="H50" s="19" t="s">
        <v>56</v>
      </c>
      <c r="I50" s="7" t="s">
        <v>183</v>
      </c>
      <c r="J50" s="20"/>
      <c r="K50" s="21" t="n">
        <f aca="false">K49+D50</f>
        <v>308</v>
      </c>
      <c r="L50" s="22" t="n">
        <f aca="false">L49+E50</f>
        <v>308</v>
      </c>
    </row>
    <row r="51" customFormat="false" ht="18" hidden="false" customHeight="true" outlineLevel="0" collapsed="false">
      <c r="A51" s="14" t="n">
        <v>48</v>
      </c>
      <c r="B51" s="7" t="s">
        <v>112</v>
      </c>
      <c r="C51" s="7" t="s">
        <v>184</v>
      </c>
      <c r="D51" s="15" t="n">
        <v>7</v>
      </c>
      <c r="E51" s="16" t="n">
        <f aca="false">CEILING(D51,1)</f>
        <v>7</v>
      </c>
      <c r="F51" s="17" t="n">
        <v>1</v>
      </c>
      <c r="G51" s="24" t="s">
        <v>64</v>
      </c>
      <c r="H51" s="19" t="s">
        <v>185</v>
      </c>
      <c r="I51" s="7" t="s">
        <v>186</v>
      </c>
      <c r="J51" s="20"/>
      <c r="K51" s="21" t="n">
        <f aca="false">K50+D51</f>
        <v>315</v>
      </c>
      <c r="L51" s="22" t="n">
        <f aca="false">L50+E51</f>
        <v>315</v>
      </c>
    </row>
    <row r="52" customFormat="false" ht="18" hidden="false" customHeight="true" outlineLevel="0" collapsed="false">
      <c r="A52" s="14" t="n">
        <v>49</v>
      </c>
      <c r="B52" s="7" t="s">
        <v>66</v>
      </c>
      <c r="C52" s="7" t="s">
        <v>187</v>
      </c>
      <c r="D52" s="15" t="n">
        <v>3</v>
      </c>
      <c r="E52" s="16" t="n">
        <f aca="false">CEILING(D52,1)</f>
        <v>3</v>
      </c>
      <c r="F52" s="17" t="n">
        <v>2</v>
      </c>
      <c r="G52" s="24" t="s">
        <v>64</v>
      </c>
      <c r="H52" s="19" t="s">
        <v>77</v>
      </c>
      <c r="I52" s="7" t="s">
        <v>188</v>
      </c>
      <c r="J52" s="20"/>
      <c r="K52" s="21" t="n">
        <f aca="false">K51+D52</f>
        <v>318</v>
      </c>
      <c r="L52" s="22" t="n">
        <f aca="false">L51+E52</f>
        <v>318</v>
      </c>
    </row>
    <row r="53" customFormat="false" ht="18" hidden="false" customHeight="true" outlineLevel="0" collapsed="false">
      <c r="A53" s="14" t="n">
        <v>50</v>
      </c>
      <c r="B53" s="7" t="s">
        <v>49</v>
      </c>
      <c r="C53" s="7" t="s">
        <v>189</v>
      </c>
      <c r="D53" s="15" t="n">
        <v>8</v>
      </c>
      <c r="E53" s="16" t="n">
        <f aca="false">CEILING(D53,1)</f>
        <v>8</v>
      </c>
      <c r="F53" s="17" t="n">
        <v>1</v>
      </c>
      <c r="G53" s="24" t="s">
        <v>64</v>
      </c>
      <c r="H53" s="19" t="s">
        <v>190</v>
      </c>
      <c r="I53" s="7" t="s">
        <v>191</v>
      </c>
      <c r="J53" s="20"/>
      <c r="K53" s="21" t="n">
        <f aca="false">K52+D53</f>
        <v>326</v>
      </c>
      <c r="L53" s="22" t="n">
        <f aca="false">L52+E53</f>
        <v>326</v>
      </c>
    </row>
    <row r="54" customFormat="false" ht="18" hidden="false" customHeight="true" outlineLevel="0" collapsed="false">
      <c r="A54" s="14" t="n">
        <v>51</v>
      </c>
      <c r="B54" s="25"/>
      <c r="C54" s="25"/>
      <c r="D54" s="15"/>
      <c r="E54" s="26" t="str">
        <f aca="false">IF(D54="","",CEILING(D54,1))</f>
        <v/>
      </c>
      <c r="F54" s="25"/>
      <c r="G54" s="25"/>
      <c r="H54" s="25"/>
      <c r="I54" s="25"/>
      <c r="J54" s="25"/>
      <c r="K54" s="21" t="str">
        <f aca="false">IF(D54="","",K53+D54)</f>
        <v/>
      </c>
      <c r="L54" s="22" t="str">
        <f aca="false">IF(E54="","",L53+E54)</f>
        <v/>
      </c>
    </row>
    <row r="55" customFormat="false" ht="18" hidden="false" customHeight="true" outlineLevel="0" collapsed="false">
      <c r="A55" s="14" t="n">
        <v>52</v>
      </c>
      <c r="B55" s="25"/>
      <c r="C55" s="25"/>
      <c r="D55" s="15"/>
      <c r="E55" s="26" t="str">
        <f aca="false">IF(D55="","",CEILING(D55,1))</f>
        <v/>
      </c>
      <c r="F55" s="25"/>
      <c r="G55" s="25"/>
      <c r="H55" s="25"/>
      <c r="I55" s="25"/>
      <c r="J55" s="25"/>
      <c r="K55" s="21" t="str">
        <f aca="false">IF(D55="","",K54+D55)</f>
        <v/>
      </c>
      <c r="L55" s="22" t="str">
        <f aca="false">IF(E55="","",L54+E55)</f>
        <v/>
      </c>
    </row>
    <row r="56" customFormat="false" ht="18" hidden="false" customHeight="true" outlineLevel="0" collapsed="false">
      <c r="A56" s="14" t="n">
        <v>53</v>
      </c>
      <c r="B56" s="25"/>
      <c r="C56" s="25"/>
      <c r="D56" s="15"/>
      <c r="E56" s="26" t="str">
        <f aca="false">IF(D56="","",CEILING(D56,1))</f>
        <v/>
      </c>
      <c r="F56" s="25"/>
      <c r="G56" s="25"/>
      <c r="H56" s="25"/>
      <c r="I56" s="25"/>
      <c r="J56" s="25"/>
      <c r="K56" s="21" t="str">
        <f aca="false">IF(D56="","",K55+D56)</f>
        <v/>
      </c>
      <c r="L56" s="22" t="str">
        <f aca="false">IF(E56="","",L55+E56)</f>
        <v/>
      </c>
    </row>
    <row r="57" customFormat="false" ht="18" hidden="false" customHeight="true" outlineLevel="0" collapsed="false">
      <c r="A57" s="14" t="n">
        <v>54</v>
      </c>
      <c r="B57" s="25"/>
      <c r="C57" s="25"/>
      <c r="D57" s="15"/>
      <c r="E57" s="26" t="str">
        <f aca="false">IF(D57="","",CEILING(D57,1))</f>
        <v/>
      </c>
      <c r="F57" s="25"/>
      <c r="G57" s="25"/>
      <c r="H57" s="25"/>
      <c r="I57" s="25"/>
      <c r="J57" s="25"/>
      <c r="K57" s="21" t="str">
        <f aca="false">IF(D57="","",K56+D57)</f>
        <v/>
      </c>
      <c r="L57" s="22" t="str">
        <f aca="false">IF(E57="","",L56+E57)</f>
        <v/>
      </c>
    </row>
    <row r="58" customFormat="false" ht="18" hidden="false" customHeight="true" outlineLevel="0" collapsed="false">
      <c r="A58" s="14" t="n">
        <v>55</v>
      </c>
      <c r="B58" s="25"/>
      <c r="C58" s="25"/>
      <c r="D58" s="15"/>
      <c r="E58" s="26" t="str">
        <f aca="false">IF(D58="","",CEILING(D58,1))</f>
        <v/>
      </c>
      <c r="F58" s="25"/>
      <c r="G58" s="25"/>
      <c r="H58" s="25"/>
      <c r="I58" s="25"/>
      <c r="J58" s="25"/>
      <c r="K58" s="21" t="str">
        <f aca="false">IF(D58="","",K57+D58)</f>
        <v/>
      </c>
      <c r="L58" s="22" t="str">
        <f aca="false">IF(E58="","",L57+E58)</f>
        <v/>
      </c>
    </row>
    <row r="59" customFormat="false" ht="18" hidden="false" customHeight="true" outlineLevel="0" collapsed="false">
      <c r="A59" s="14" t="n">
        <v>56</v>
      </c>
      <c r="B59" s="25"/>
      <c r="C59" s="25"/>
      <c r="D59" s="15"/>
      <c r="E59" s="26" t="str">
        <f aca="false">IF(D59="","",CEILING(D59,1))</f>
        <v/>
      </c>
      <c r="F59" s="25"/>
      <c r="G59" s="25"/>
      <c r="H59" s="25"/>
      <c r="I59" s="25"/>
      <c r="J59" s="25"/>
      <c r="K59" s="21" t="str">
        <f aca="false">IF(D59="","",K58+D59)</f>
        <v/>
      </c>
      <c r="L59" s="22" t="str">
        <f aca="false">IF(E59="","",L58+E59)</f>
        <v/>
      </c>
    </row>
    <row r="60" customFormat="false" ht="18" hidden="false" customHeight="true" outlineLevel="0" collapsed="false">
      <c r="A60" s="14" t="n">
        <v>57</v>
      </c>
      <c r="B60" s="25"/>
      <c r="C60" s="25"/>
      <c r="D60" s="15"/>
      <c r="E60" s="26" t="str">
        <f aca="false">IF(D60="","",CEILING(D60,1))</f>
        <v/>
      </c>
      <c r="F60" s="25"/>
      <c r="G60" s="25"/>
      <c r="H60" s="25"/>
      <c r="I60" s="25"/>
      <c r="J60" s="25"/>
      <c r="K60" s="21" t="str">
        <f aca="false">IF(D60="","",K59+D60)</f>
        <v/>
      </c>
      <c r="L60" s="22" t="str">
        <f aca="false">IF(E60="","",L59+E60)</f>
        <v/>
      </c>
    </row>
    <row r="61" customFormat="false" ht="18" hidden="false" customHeight="true" outlineLevel="0" collapsed="false">
      <c r="A61" s="14" t="n">
        <v>58</v>
      </c>
      <c r="B61" s="25"/>
      <c r="C61" s="25"/>
      <c r="D61" s="15"/>
      <c r="E61" s="26" t="str">
        <f aca="false">IF(D61="","",CEILING(D61,1))</f>
        <v/>
      </c>
      <c r="F61" s="25"/>
      <c r="G61" s="25"/>
      <c r="H61" s="25"/>
      <c r="I61" s="25"/>
      <c r="J61" s="25"/>
      <c r="K61" s="21" t="str">
        <f aca="false">IF(D61="","",K60+D61)</f>
        <v/>
      </c>
      <c r="L61" s="22" t="str">
        <f aca="false">IF(E61="","",L60+E61)</f>
        <v/>
      </c>
    </row>
    <row r="62" customFormat="false" ht="18" hidden="false" customHeight="true" outlineLevel="0" collapsed="false">
      <c r="A62" s="14" t="n">
        <v>59</v>
      </c>
      <c r="B62" s="25"/>
      <c r="C62" s="25"/>
      <c r="D62" s="15"/>
      <c r="E62" s="26" t="str">
        <f aca="false">IF(D62="","",CEILING(D62,1))</f>
        <v/>
      </c>
      <c r="F62" s="25"/>
      <c r="G62" s="25"/>
      <c r="H62" s="25"/>
      <c r="I62" s="25"/>
      <c r="J62" s="25"/>
      <c r="K62" s="21" t="str">
        <f aca="false">IF(D62="","",K61+D62)</f>
        <v/>
      </c>
      <c r="L62" s="22" t="str">
        <f aca="false">IF(E62="","",L61+E62)</f>
        <v/>
      </c>
    </row>
    <row r="63" customFormat="false" ht="18" hidden="false" customHeight="true" outlineLevel="0" collapsed="false">
      <c r="A63" s="14" t="n">
        <v>60</v>
      </c>
      <c r="B63" s="25"/>
      <c r="C63" s="25"/>
      <c r="D63" s="15"/>
      <c r="E63" s="26" t="str">
        <f aca="false">IF(D63="","",CEILING(D63,1))</f>
        <v/>
      </c>
      <c r="F63" s="25"/>
      <c r="G63" s="25"/>
      <c r="H63" s="25"/>
      <c r="I63" s="25"/>
      <c r="J63" s="25"/>
      <c r="K63" s="21" t="str">
        <f aca="false">IF(D63="","",K62+D63)</f>
        <v/>
      </c>
      <c r="L63" s="22" t="str">
        <f aca="false">IF(E63="","",L62+E63)</f>
        <v/>
      </c>
    </row>
    <row r="65" customFormat="false" ht="15" hidden="false" customHeight="true" outlineLevel="0" collapsed="false">
      <c r="A65" s="6" t="s">
        <v>192</v>
      </c>
      <c r="B65" s="6"/>
      <c r="C65" s="6"/>
      <c r="D65" s="27" t="n">
        <f aca="false">SUMIF(D4:D63,"&gt;0")</f>
        <v>326</v>
      </c>
      <c r="E65" s="28" t="n">
        <f aca="false">SUMIF(E4:E63,"&gt;0")</f>
        <v>326</v>
      </c>
      <c r="F65" s="29"/>
      <c r="G65" s="29"/>
      <c r="H65" s="29"/>
      <c r="I65" s="29"/>
      <c r="J65" s="29"/>
      <c r="K65" s="27" t="n">
        <f aca="false">K53</f>
        <v>326</v>
      </c>
      <c r="L65" s="28" t="n">
        <f aca="false">L53</f>
        <v>326</v>
      </c>
    </row>
    <row r="67" customFormat="false" ht="15" hidden="false" customHeight="true" outlineLevel="0" collapsed="false">
      <c r="A67" s="1" t="s">
        <v>16</v>
      </c>
      <c r="B67" s="30" t="n">
        <f aca="false">1+0</f>
        <v>1</v>
      </c>
      <c r="C67" s="31" t="s">
        <v>193</v>
      </c>
    </row>
    <row r="68" customFormat="false" ht="15" hidden="false" customHeight="true" outlineLevel="0" collapsed="false">
      <c r="A68" s="1" t="s">
        <v>194</v>
      </c>
      <c r="B68" s="32" t="n">
        <f aca="false">COUNTA(C4:C53)</f>
        <v>50</v>
      </c>
    </row>
    <row r="69" customFormat="false" ht="15" hidden="false" customHeight="true" outlineLevel="0" collapsed="false">
      <c r="A69" s="1" t="s">
        <v>195</v>
      </c>
      <c r="B69" s="33" t="n">
        <f aca="false">SUMIF(G4:G53,"Core",D4:D53)</f>
        <v>51</v>
      </c>
    </row>
    <row r="70" customFormat="false" ht="15" hidden="false" customHeight="true" outlineLevel="0" collapsed="false">
      <c r="A70" s="1" t="s">
        <v>196</v>
      </c>
      <c r="B70" s="33" t="n">
        <f aca="false">SUMIF(G4:G53,"Enabling",D4:D53)</f>
        <v>90</v>
      </c>
    </row>
    <row r="71" customFormat="false" ht="15" hidden="false" customHeight="true" outlineLevel="0" collapsed="false">
      <c r="A71" s="1" t="s">
        <v>197</v>
      </c>
      <c r="B71" s="33" t="n">
        <f aca="false">SUMIF(G4:G53,"Optional",D4:D53)</f>
        <v>185</v>
      </c>
    </row>
  </sheetData>
  <autoFilter ref="A3:L53"/>
  <mergeCells count="3">
    <mergeCell ref="A1:L1"/>
    <mergeCell ref="A2:L2"/>
    <mergeCell ref="A65:C65"/>
  </mergeCells>
  <dataValidations count="2">
    <dataValidation allowBlank="true" error="Use Core, Enabling, or Optional" errorStyle="stop" operator="between" prompt="Could-go class" showDropDown="false" showErrorMessage="false" showInputMessage="false" sqref="G4:G63" type="list">
      <formula1>"Core,Enabling,Optional"</formula1>
      <formula2>0</formula2>
    </dataValidation>
    <dataValidation allowBlank="true" errorStyle="stop" operator="between" showDropDown="false" showErrorMessage="false" showInputMessage="false" sqref="B4:B63" type="list">
      <formula1>"Habitat,Power,Mobility,Life support,Comms,Manufacture,Science,Safety"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&amp;LMars 1-lb catalog  ·  n = 1+0</oddHeader>
    <oddFooter>&amp;RCould-go inventory — not a flight list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4"/>
    <col collapsed="false" customWidth="true" hidden="false" outlineLevel="0" max="6" min="6" style="1" width="12"/>
  </cols>
  <sheetData>
    <row r="1" customFormat="false" ht="25.5" hidden="false" customHeight="true" outlineLevel="0" collapsed="false">
      <c r="A1" s="2" t="s">
        <v>198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40</v>
      </c>
      <c r="B3" s="13" t="s">
        <v>199</v>
      </c>
      <c r="C3" s="13" t="s">
        <v>200</v>
      </c>
      <c r="D3" s="13" t="s">
        <v>201</v>
      </c>
      <c r="E3" s="13" t="s">
        <v>202</v>
      </c>
      <c r="F3" s="13" t="s">
        <v>203</v>
      </c>
    </row>
    <row r="4" customFormat="false" ht="15" hidden="false" customHeight="true" outlineLevel="0" collapsed="false">
      <c r="A4" s="7" t="s">
        <v>49</v>
      </c>
      <c r="B4" s="21" t="n">
        <f aca="false">SUMIFS(Catalog!D:D,Catalog!B:B,A4,Catalog!G:G,"Core")</f>
        <v>9</v>
      </c>
      <c r="C4" s="21" t="n">
        <f aca="false">SUMIFS(Catalog!D:D,Catalog!B:B,A4,Catalog!G:G,"Enabling")</f>
        <v>21</v>
      </c>
      <c r="D4" s="21" t="n">
        <f aca="false">SUMIFS(Catalog!D:D,Catalog!B:B,A4,Catalog!G:G,"Optional")</f>
        <v>61</v>
      </c>
      <c r="E4" s="21" t="n">
        <f aca="false">B4+C4+D4</f>
        <v>91</v>
      </c>
      <c r="F4" s="26" t="n">
        <f aca="false">COUNTIF(Catalog!B:B,A4)</f>
        <v>9</v>
      </c>
    </row>
    <row r="5" customFormat="false" ht="15" hidden="false" customHeight="true" outlineLevel="0" collapsed="false">
      <c r="A5" s="34" t="s">
        <v>66</v>
      </c>
      <c r="B5" s="35" t="n">
        <f aca="false">SUMIFS(Catalog!D:D,Catalog!B:B,A5,Catalog!G:G,"Core")</f>
        <v>3</v>
      </c>
      <c r="C5" s="35" t="n">
        <f aca="false">SUMIFS(Catalog!D:D,Catalog!B:B,A5,Catalog!G:G,"Enabling")</f>
        <v>7</v>
      </c>
      <c r="D5" s="35" t="n">
        <f aca="false">SUMIFS(Catalog!D:D,Catalog!B:B,A5,Catalog!G:G,"Optional")</f>
        <v>30</v>
      </c>
      <c r="E5" s="35" t="n">
        <f aca="false">B5+C5+D5</f>
        <v>40</v>
      </c>
      <c r="F5" s="36" t="n">
        <f aca="false">COUNTIF(Catalog!B:B,A5)</f>
        <v>7</v>
      </c>
    </row>
    <row r="6" customFormat="false" ht="15" hidden="false" customHeight="true" outlineLevel="0" collapsed="false">
      <c r="A6" s="7" t="s">
        <v>80</v>
      </c>
      <c r="B6" s="21" t="n">
        <f aca="false">SUMIFS(Catalog!D:D,Catalog!B:B,A6,Catalog!G:G,"Core")</f>
        <v>0</v>
      </c>
      <c r="C6" s="21" t="n">
        <f aca="false">SUMIFS(Catalog!D:D,Catalog!B:B,A6,Catalog!G:G,"Enabling")</f>
        <v>32</v>
      </c>
      <c r="D6" s="21" t="n">
        <f aca="false">SUMIFS(Catalog!D:D,Catalog!B:B,A6,Catalog!G:G,"Optional")</f>
        <v>25</v>
      </c>
      <c r="E6" s="21" t="n">
        <f aca="false">B6+C6+D6</f>
        <v>57</v>
      </c>
      <c r="F6" s="26" t="n">
        <f aca="false">COUNTIF(Catalog!B:B,A6)</f>
        <v>6</v>
      </c>
    </row>
    <row r="7" customFormat="false" ht="15" hidden="false" customHeight="true" outlineLevel="0" collapsed="false">
      <c r="A7" s="34" t="s">
        <v>91</v>
      </c>
      <c r="B7" s="35" t="n">
        <f aca="false">SUMIFS(Catalog!D:D,Catalog!B:B,A7,Catalog!G:G,"Core")</f>
        <v>14</v>
      </c>
      <c r="C7" s="35" t="n">
        <f aca="false">SUMIFS(Catalog!D:D,Catalog!B:B,A7,Catalog!G:G,"Enabling")</f>
        <v>14</v>
      </c>
      <c r="D7" s="35" t="n">
        <f aca="false">SUMIFS(Catalog!D:D,Catalog!B:B,A7,Catalog!G:G,"Optional")</f>
        <v>10</v>
      </c>
      <c r="E7" s="35" t="n">
        <f aca="false">B7+C7+D7</f>
        <v>38</v>
      </c>
      <c r="F7" s="36" t="n">
        <f aca="false">COUNTIF(Catalog!B:B,A7)</f>
        <v>6</v>
      </c>
    </row>
    <row r="8" customFormat="false" ht="15" hidden="false" customHeight="true" outlineLevel="0" collapsed="false">
      <c r="A8" s="7" t="s">
        <v>102</v>
      </c>
      <c r="B8" s="21" t="n">
        <f aca="false">SUMIFS(Catalog!D:D,Catalog!B:B,A8,Catalog!G:G,"Core")</f>
        <v>15</v>
      </c>
      <c r="C8" s="21" t="n">
        <f aca="false">SUMIFS(Catalog!D:D,Catalog!B:B,A8,Catalog!G:G,"Enabling")</f>
        <v>3</v>
      </c>
      <c r="D8" s="21" t="n">
        <f aca="false">SUMIFS(Catalog!D:D,Catalog!B:B,A8,Catalog!G:G,"Optional")</f>
        <v>14</v>
      </c>
      <c r="E8" s="21" t="n">
        <f aca="false">B8+C8+D8</f>
        <v>32</v>
      </c>
      <c r="F8" s="26" t="n">
        <f aca="false">COUNTIF(Catalog!B:B,A8)</f>
        <v>5</v>
      </c>
    </row>
    <row r="9" customFormat="false" ht="15" hidden="false" customHeight="true" outlineLevel="0" collapsed="false">
      <c r="A9" s="34" t="s">
        <v>112</v>
      </c>
      <c r="B9" s="35" t="n">
        <f aca="false">SUMIFS(Catalog!D:D,Catalog!B:B,A9,Catalog!G:G,"Core")</f>
        <v>2</v>
      </c>
      <c r="C9" s="35" t="n">
        <f aca="false">SUMIFS(Catalog!D:D,Catalog!B:B,A9,Catalog!G:G,"Enabling")</f>
        <v>1</v>
      </c>
      <c r="D9" s="35" t="n">
        <f aca="false">SUMIFS(Catalog!D:D,Catalog!B:B,A9,Catalog!G:G,"Optional")</f>
        <v>30</v>
      </c>
      <c r="E9" s="35" t="n">
        <f aca="false">B9+C9+D9</f>
        <v>33</v>
      </c>
      <c r="F9" s="36" t="n">
        <f aca="false">COUNTIF(Catalog!B:B,A9)</f>
        <v>6</v>
      </c>
    </row>
    <row r="10" customFormat="false" ht="15" hidden="false" customHeight="true" outlineLevel="0" collapsed="false">
      <c r="A10" s="7" t="s">
        <v>121</v>
      </c>
      <c r="B10" s="21" t="n">
        <f aca="false">SUMIFS(Catalog!D:D,Catalog!B:B,A10,Catalog!G:G,"Core")</f>
        <v>0</v>
      </c>
      <c r="C10" s="21" t="n">
        <f aca="false">SUMIFS(Catalog!D:D,Catalog!B:B,A10,Catalog!G:G,"Enabling")</f>
        <v>3</v>
      </c>
      <c r="D10" s="21" t="n">
        <f aca="false">SUMIFS(Catalog!D:D,Catalog!B:B,A10,Catalog!G:G,"Optional")</f>
        <v>7</v>
      </c>
      <c r="E10" s="21" t="n">
        <f aca="false">B10+C10+D10</f>
        <v>10</v>
      </c>
      <c r="F10" s="26" t="n">
        <f aca="false">COUNTIF(Catalog!B:B,A10)</f>
        <v>5</v>
      </c>
    </row>
    <row r="11" customFormat="false" ht="15" hidden="false" customHeight="true" outlineLevel="0" collapsed="false">
      <c r="A11" s="34" t="s">
        <v>130</v>
      </c>
      <c r="B11" s="35" t="n">
        <f aca="false">SUMIFS(Catalog!D:D,Catalog!B:B,A11,Catalog!G:G,"Core")</f>
        <v>8</v>
      </c>
      <c r="C11" s="35" t="n">
        <f aca="false">SUMIFS(Catalog!D:D,Catalog!B:B,A11,Catalog!G:G,"Enabling")</f>
        <v>9</v>
      </c>
      <c r="D11" s="35" t="n">
        <f aca="false">SUMIFS(Catalog!D:D,Catalog!B:B,A11,Catalog!G:G,"Optional")</f>
        <v>8</v>
      </c>
      <c r="E11" s="35" t="n">
        <f aca="false">B11+C11+D11</f>
        <v>25</v>
      </c>
      <c r="F11" s="36" t="n">
        <f aca="false">COUNTIF(Catalog!B:B,A11)</f>
        <v>6</v>
      </c>
    </row>
    <row r="12" customFormat="false" ht="15" hidden="false" customHeight="true" outlineLevel="0" collapsed="false">
      <c r="A12" s="37" t="s">
        <v>204</v>
      </c>
      <c r="B12" s="38" t="n">
        <f aca="false">SUM(B4:B11)</f>
        <v>51</v>
      </c>
      <c r="C12" s="38" t="n">
        <f aca="false">SUM(C4:C11)</f>
        <v>90</v>
      </c>
      <c r="D12" s="38" t="n">
        <f aca="false">SUM(D4:D11)</f>
        <v>185</v>
      </c>
      <c r="E12" s="38" t="n">
        <f aca="false">SUM(E4:E11)</f>
        <v>326</v>
      </c>
      <c r="F12" s="37" t="n">
        <f aca="false">SUM(F4:F11)</f>
        <v>50</v>
      </c>
    </row>
    <row r="32" customFormat="false" ht="15" hidden="false" customHeight="true" outlineLevel="0" collapsed="false">
      <c r="A32" s="39" t="s">
        <v>205</v>
      </c>
    </row>
    <row r="33" customFormat="false" ht="15" hidden="false" customHeight="true" outlineLevel="0" collapsed="false">
      <c r="A33" s="40" t="s">
        <v>206</v>
      </c>
      <c r="B33" s="40"/>
      <c r="C33" s="40"/>
      <c r="D33" s="40"/>
      <c r="E33" s="40"/>
      <c r="F33" s="40"/>
    </row>
    <row r="34" customFormat="false" ht="15" hidden="false" customHeight="true" outlineLevel="0" collapsed="false">
      <c r="A34" s="40"/>
      <c r="B34" s="40"/>
      <c r="C34" s="40"/>
      <c r="D34" s="40"/>
      <c r="E34" s="40"/>
      <c r="F34" s="40"/>
    </row>
    <row r="35" customFormat="false" ht="15" hidden="false" customHeight="true" outlineLevel="0" collapsed="false">
      <c r="A35" s="40"/>
      <c r="B35" s="40"/>
      <c r="C35" s="40"/>
      <c r="D35" s="40"/>
      <c r="E35" s="40"/>
      <c r="F35" s="40"/>
    </row>
  </sheetData>
  <mergeCells count="2">
    <mergeCell ref="A1:F1"/>
    <mergeCell ref="A33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20"/>
  </cols>
  <sheetData>
    <row r="1" customFormat="false" ht="25.5" hidden="false" customHeight="true" outlineLevel="0" collapsed="false">
      <c r="A1" s="41" t="s">
        <v>207</v>
      </c>
      <c r="B1" s="41"/>
    </row>
    <row r="3" customFormat="false" ht="19.5" hidden="false" customHeight="true" outlineLevel="0" collapsed="false">
      <c r="A3" s="42" t="s">
        <v>208</v>
      </c>
      <c r="B3" s="42"/>
    </row>
    <row r="4" customFormat="false" ht="19.5" hidden="false" customHeight="true" outlineLevel="0" collapsed="false">
      <c r="A4" s="42" t="s">
        <v>209</v>
      </c>
      <c r="B4" s="42"/>
    </row>
    <row r="5" customFormat="false" ht="19.5" hidden="false" customHeight="true" outlineLevel="0" collapsed="false">
      <c r="A5" s="42" t="s">
        <v>210</v>
      </c>
      <c r="B5" s="42"/>
    </row>
    <row r="6" customFormat="false" ht="19.5" hidden="false" customHeight="true" outlineLevel="0" collapsed="false">
      <c r="A6" s="42" t="s">
        <v>211</v>
      </c>
      <c r="B6" s="42"/>
    </row>
    <row r="7" customFormat="false" ht="19.5" hidden="false" customHeight="true" outlineLevel="0" collapsed="false">
      <c r="A7" s="42" t="s">
        <v>212</v>
      </c>
      <c r="B7" s="42"/>
    </row>
    <row r="8" customFormat="false" ht="19.5" hidden="false" customHeight="true" outlineLevel="0" collapsed="false">
      <c r="A8" s="42" t="s">
        <v>213</v>
      </c>
      <c r="B8" s="42"/>
    </row>
    <row r="9" customFormat="false" ht="19.5" hidden="false" customHeight="true" outlineLevel="0" collapsed="false">
      <c r="A9" s="42" t="s">
        <v>214</v>
      </c>
      <c r="B9" s="42"/>
    </row>
    <row r="10" customFormat="false" ht="19.5" hidden="false" customHeight="true" outlineLevel="0" collapsed="false">
      <c r="A10" s="42" t="s">
        <v>215</v>
      </c>
      <c r="B10" s="42"/>
    </row>
    <row r="13" customFormat="false" ht="15" hidden="false" customHeight="true" outlineLevel="0" collapsed="false">
      <c r="A13" s="1" t="s">
        <v>216</v>
      </c>
      <c r="B13" s="32" t="n">
        <f aca="false">Algorithm!C9</f>
        <v>1</v>
      </c>
      <c r="C13" s="31" t="s">
        <v>217</v>
      </c>
    </row>
  </sheetData>
  <mergeCells count="9">
    <mergeCell ref="A1:B1"/>
    <mergeCell ref="A3:B3"/>
    <mergeCell ref="A4:B4"/>
    <mergeCell ref="A5:B5"/>
    <mergeCell ref="A6:B6"/>
    <mergeCell ref="A7:B7"/>
    <mergeCell ref="A8:B8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2026-09-11T17:13:16Z</dcterms:created>
  <dc:creator>openpyxl</dc:creator>
  <dc:description/>
  <dc:language>en-US</dc:language>
  <cp:lastModifiedBy/>
  <dcterms:modified xsi:type="dcterms:W3CDTF">2026-09-11T17:13:33Z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